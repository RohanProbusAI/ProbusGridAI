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businsurance-my.sharepoint.com/personal/nikita_yadav_probusinsurance_onmicrosoft_com/Documents/Nikita Yadav/NIKITA/PAYIN AND PAYOUT/2025/AUGUST 2025/PAYIN AUGUST 2025/LIBERTY AUGUST 2025/"/>
    </mc:Choice>
  </mc:AlternateContent>
  <xr:revisionPtr revIDLastSave="149" documentId="8_{1109A950-57F3-47B9-8916-AC286FB6F5A8}" xr6:coauthVersionLast="47" xr6:coauthVersionMax="47" xr10:uidLastSave="{BD5BAC43-6030-426D-A0E4-2306127C5F3E}"/>
  <bookViews>
    <workbookView xWindow="-120" yWindow="-120" windowWidth="29040" windowHeight="15720" activeTab="8" xr2:uid="{A528E0A0-BA86-4904-AC44-A7C10A45C92A}"/>
  </bookViews>
  <sheets>
    <sheet name="PC Comp_R_1" sheetId="15" r:id="rId1"/>
    <sheet name="Sheet1" sheetId="14" state="hidden" r:id="rId2"/>
    <sheet name="PC Comp_R" sheetId="8" state="hidden" r:id="rId3"/>
    <sheet name="PC Comp" sheetId="1" state="hidden" r:id="rId4"/>
    <sheet name="PCTP_R_1" sheetId="16" r:id="rId5"/>
    <sheet name="PCTP_R" sheetId="9" state="hidden" r:id="rId6"/>
    <sheet name="PCTP" sheetId="2" state="hidden" r:id="rId7"/>
    <sheet name="TW Comp" sheetId="3" state="hidden" r:id="rId8"/>
    <sheet name="CV COMP_R_1_&lt;7.5T" sheetId="18" r:id="rId9"/>
    <sheet name="CV COMP_R_1_&gt;7.5T" sheetId="23" r:id="rId10"/>
    <sheet name="CV SATP_R_1 (2)" sheetId="22" r:id="rId11"/>
    <sheet name="CV SATP_R_1" sheetId="19" state="hidden" r:id="rId12"/>
    <sheet name="TW Comp_R_1" sheetId="21" r:id="rId13"/>
    <sheet name="TW Comp_R" sheetId="10" state="hidden" r:id="rId14"/>
    <sheet name="CV COMP_R" sheetId="12" state="hidden" r:id="rId15"/>
    <sheet name="CV Comp" sheetId="5" state="hidden" r:id="rId16"/>
    <sheet name="CV SATP_R" sheetId="13" state="hidden" r:id="rId17"/>
    <sheet name="CV SATP" sheetId="6" state="hidden" r:id="rId18"/>
    <sheet name="TW SATP_R_1" sheetId="17" r:id="rId19"/>
    <sheet name="TW SATP_R" sheetId="11" state="hidden" r:id="rId20"/>
    <sheet name="TW SATP" sheetId="4" state="hidden" r:id="rId21"/>
    <sheet name="CL &amp; Health" sheetId="7" r:id="rId22"/>
  </sheets>
  <definedNames>
    <definedName name="_xlnm._FilterDatabase" localSheetId="15" hidden="1">'CV Comp'!$A$3:$X$3</definedName>
    <definedName name="_xlnm._FilterDatabase" localSheetId="14" hidden="1">'CV COMP_R'!$A$3:$V$65</definedName>
    <definedName name="_xlnm._FilterDatabase" localSheetId="8" hidden="1">'CV COMP_R_1_&lt;7.5T'!$A$3:$T$79</definedName>
    <definedName name="_xlnm._FilterDatabase" localSheetId="9" hidden="1">'CV COMP_R_1_&gt;7.5T'!$A$3:$R$79</definedName>
    <definedName name="_xlnm._FilterDatabase" localSheetId="16" hidden="1">'CV SATP_R'!$A$4:$K$67</definedName>
    <definedName name="_xlnm._FilterDatabase" localSheetId="11" hidden="1">'CV SATP_R_1'!$A$5:$H$77</definedName>
    <definedName name="_xlnm._FilterDatabase" localSheetId="10" hidden="1">'CV SATP_R_1 (2)'!$A$4:$U$80</definedName>
    <definedName name="_xlnm._FilterDatabase" localSheetId="3" hidden="1">'PC Comp'!$A$2:$H$61</definedName>
    <definedName name="_xlnm._FilterDatabase" localSheetId="2" hidden="1">'PC Comp_R'!$A$2:$H$64</definedName>
    <definedName name="_xlnm._FilterDatabase" localSheetId="0" hidden="1">'PC Comp_R_1'!$A$2:$I$75</definedName>
    <definedName name="_xlnm._FilterDatabase" localSheetId="6" hidden="1">PCTP!$A$2:$G$3</definedName>
    <definedName name="_xlnm._FilterDatabase" localSheetId="5" hidden="1">PCTP_R!$A$3:$G$65</definedName>
    <definedName name="_xlnm._FilterDatabase" localSheetId="4" hidden="1">PCTP_R_1!$A$4:$J$76</definedName>
    <definedName name="_xlnm._FilterDatabase" localSheetId="1" hidden="1">Sheet1!$A$1:$A$73</definedName>
    <definedName name="_xlnm._FilterDatabase" localSheetId="7" hidden="1">'TW Comp'!$A$2:$D$59</definedName>
    <definedName name="_xlnm._FilterDatabase" localSheetId="13" hidden="1">'TW Comp_R'!$A$2:$D$2</definedName>
    <definedName name="_xlnm._FilterDatabase" localSheetId="12" hidden="1">'TW Comp_R_1'!$A$3:$H$75</definedName>
    <definedName name="_xlnm._FilterDatabase" localSheetId="20" hidden="1">'TW SATP'!$A$3:$H$26</definedName>
    <definedName name="_xlnm._FilterDatabase" localSheetId="19" hidden="1">'TW SATP_R'!$A$3:$G$65</definedName>
    <definedName name="_xlnm._FilterDatabase" localSheetId="18" hidden="1">'TW SATP_R_1'!$A$5:$L$77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6" l="1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E59" i="3"/>
  <c r="E58" i="3"/>
  <c r="E57" i="3"/>
  <c r="E56" i="3"/>
  <c r="E55" i="3"/>
  <c r="E54" i="3"/>
  <c r="E53" i="3"/>
  <c r="E52" i="3"/>
  <c r="E51" i="3"/>
  <c r="E50" i="3"/>
  <c r="E49" i="3"/>
  <c r="E48" i="3"/>
  <c r="E34" i="3"/>
  <c r="E33" i="3"/>
  <c r="E32" i="3"/>
  <c r="E31" i="3"/>
  <c r="E30" i="3"/>
  <c r="E29" i="3"/>
  <c r="E28" i="3"/>
  <c r="E27" i="3"/>
  <c r="E26" i="3"/>
  <c r="E25" i="3"/>
  <c r="E24" i="3"/>
  <c r="E14" i="3"/>
  <c r="E13" i="3"/>
  <c r="E12" i="3"/>
  <c r="E11" i="3"/>
  <c r="E10" i="3"/>
  <c r="E9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E21" i="3"/>
  <c r="E20" i="3"/>
  <c r="E19" i="3"/>
  <c r="E18" i="3"/>
  <c r="E17" i="3"/>
  <c r="E16" i="3"/>
  <c r="E15" i="3"/>
  <c r="E8" i="3"/>
  <c r="E7" i="3"/>
  <c r="E6" i="3"/>
  <c r="E5" i="3"/>
  <c r="E4" i="3"/>
  <c r="E3" i="3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<sst xmlns="http://schemas.openxmlformats.org/spreadsheetml/2006/main" count="2988" uniqueCount="262">
  <si>
    <t>Geo Locations</t>
  </si>
  <si>
    <t>Payout on</t>
  </si>
  <si>
    <t>Comp - Petrol - NCB / NON NCB</t>
  </si>
  <si>
    <t>Comp - Diesel / Others  - Non NCB</t>
  </si>
  <si>
    <t>Comp - Diesel / Others  - NCB</t>
  </si>
  <si>
    <t>SOD - NON NCB</t>
  </si>
  <si>
    <t>SOD - NCB</t>
  </si>
  <si>
    <t>ANDHRA PRADESH - KRISHNA(VIJAYWADA)</t>
  </si>
  <si>
    <t>OD Premium</t>
  </si>
  <si>
    <t>ANDHRA PRADESH - REST</t>
  </si>
  <si>
    <t>ANDHRA PRADESH - VISAKHAPATNAM</t>
  </si>
  <si>
    <t>KARNATAKA - BANGALORE</t>
  </si>
  <si>
    <t>KARNATAKA - BANGALORE SURROUNDING</t>
  </si>
  <si>
    <t>KARNATAKA - REST</t>
  </si>
  <si>
    <t>KERALA - ERNAKULAM(COCHIN)</t>
  </si>
  <si>
    <t>KERALA - NORTH</t>
  </si>
  <si>
    <t>KERALA - SOUTH</t>
  </si>
  <si>
    <t>TAMIL NADU - CHENNAL &amp; PONDICHERRY</t>
  </si>
  <si>
    <t>TAMIL NADU - REST</t>
  </si>
  <si>
    <t>TELANGANA - HYDERABAD &amp; SURRONDING</t>
  </si>
  <si>
    <t>TELANGANA - REST</t>
  </si>
  <si>
    <t>SATP Petrol</t>
  </si>
  <si>
    <t>SATP Diesel</t>
  </si>
  <si>
    <t>&lt;1000 cc</t>
  </si>
  <si>
    <t>1000-1500 cc</t>
  </si>
  <si>
    <t>&gt;1500 cc</t>
  </si>
  <si>
    <t>Type (Package 1+1)</t>
  </si>
  <si>
    <t>Payout % - Net</t>
  </si>
  <si>
    <t>SOD</t>
  </si>
  <si>
    <t>Bike</t>
  </si>
  <si>
    <t>Scooter</t>
  </si>
  <si>
    <t>Segement</t>
  </si>
  <si>
    <t>Bikes</t>
  </si>
  <si>
    <t>Geo Location - New</t>
  </si>
  <si>
    <t>&lt; 75 CC</t>
  </si>
  <si>
    <t>&gt;75-150 CC</t>
  </si>
  <si>
    <t>&gt; 150-350 CC</t>
  </si>
  <si>
    <t xml:space="preserve"> &gt; 350 CC</t>
  </si>
  <si>
    <t>Geo Segments</t>
  </si>
  <si>
    <t>Geo Segment CV</t>
  </si>
  <si>
    <t>0 - 2.6T</t>
  </si>
  <si>
    <t>2.6 - 4T</t>
  </si>
  <si>
    <t>4 - 7.5T</t>
  </si>
  <si>
    <t>12 - 20T</t>
  </si>
  <si>
    <t>20 - 43T</t>
  </si>
  <si>
    <t>PCV 3W</t>
  </si>
  <si>
    <t>MISD Tractors</t>
  </si>
  <si>
    <t>New</t>
  </si>
  <si>
    <t>&gt;1 - 5 Years</t>
  </si>
  <si>
    <t>&gt;5 - 10+ Years</t>
  </si>
  <si>
    <t>ANDHRA PRADESH</t>
  </si>
  <si>
    <t>TELANGANA</t>
  </si>
  <si>
    <t>GOA</t>
  </si>
  <si>
    <t>MADHYA PRADESH - BHOPAL &amp; INDORE</t>
  </si>
  <si>
    <t>MADHYA PRADESH</t>
  </si>
  <si>
    <t>MADHYA PRADESH - GWALIOR &amp; JABALPUR</t>
  </si>
  <si>
    <t>MADHYA PRADESH - REST</t>
  </si>
  <si>
    <t>MAHARASHTRA - MUMBAI</t>
  </si>
  <si>
    <t>MAHARASHTRA - MUMBAI &amp; PUNE</t>
  </si>
  <si>
    <t>MAHARASHTRA - NAGPUR</t>
  </si>
  <si>
    <t>MAHARASHTRA - REST</t>
  </si>
  <si>
    <t>MAHARASHTRA - PUNE</t>
  </si>
  <si>
    <t>CHANDIGARH(TRICITY)</t>
  </si>
  <si>
    <t>DELHI - NCR</t>
  </si>
  <si>
    <t>HARYANA - REST</t>
  </si>
  <si>
    <t>HIMACHAL PRADESH - BILASPUR, MANDI, SOLAN, SHIMLA &amp; MANALI</t>
  </si>
  <si>
    <t>HIMACHAL PRADESH - REST</t>
  </si>
  <si>
    <t>JAMMU &amp; KASHMIR - JAMMU</t>
  </si>
  <si>
    <t>JAMMU &amp; KASHMIR - REST</t>
  </si>
  <si>
    <t>PUNJAB - AMRITSAR &amp; SURRONDING</t>
  </si>
  <si>
    <t>PUNJAB - LUDHIANA &amp; SURRONDING</t>
  </si>
  <si>
    <t>RAJASTHAN - JAIPUR</t>
  </si>
  <si>
    <t>RAJASTHAN - JAIPUR SURRONDING</t>
  </si>
  <si>
    <t>RAJASTHAN - REST</t>
  </si>
  <si>
    <t>RAJASTHAN - UDAIPUR &amp; SURRONDING</t>
  </si>
  <si>
    <t>UTTAR PRADESH - LUCKNOW, ALLAHABAD, GORAKHPUR, KANPUR &amp; VARANASI</t>
  </si>
  <si>
    <t>UTTAR PRADESH - REST</t>
  </si>
  <si>
    <t>UTTAR PRADESH - WEST</t>
  </si>
  <si>
    <t>UTTARAKHAND - DEHRADUN</t>
  </si>
  <si>
    <t>UTTARAKHAND - REST</t>
  </si>
  <si>
    <t>CHANDIGARH - TRICITY</t>
  </si>
  <si>
    <t>DELHI – NCR</t>
  </si>
  <si>
    <t>JAMMU &amp; KASHMIR</t>
  </si>
  <si>
    <t>PUNJAB - REST</t>
  </si>
  <si>
    <t>RAJASTHAN - UDAIPUR</t>
  </si>
  <si>
    <t>UTTAR PRADESH - LUCKNOW, ALLAHABAD, GORAKHPUR, KANPUR &amp; VARA</t>
  </si>
  <si>
    <t>UTTARAKHAND</t>
  </si>
  <si>
    <t>Upto 2.5 Ton</t>
  </si>
  <si>
    <t>&gt;2.5~3.5 T</t>
  </si>
  <si>
    <t>&gt;3.5~7.5 T</t>
  </si>
  <si>
    <t>PCV 3W Autorickshaw</t>
  </si>
  <si>
    <t>GCV 4W</t>
  </si>
  <si>
    <t>GCV 3W</t>
  </si>
  <si>
    <t>ARUNACHAL PRADESH</t>
  </si>
  <si>
    <t>ASSAM - KAMRUP (GUWAHATI)</t>
  </si>
  <si>
    <t>ASSAM - LOWER</t>
  </si>
  <si>
    <t>ASSAM - UPPER</t>
  </si>
  <si>
    <t>BIHAR</t>
  </si>
  <si>
    <t>JHARKHAND</t>
  </si>
  <si>
    <t>MANIPUR</t>
  </si>
  <si>
    <t>MEGHALAYA</t>
  </si>
  <si>
    <t>MIZORAM</t>
  </si>
  <si>
    <t>NAGALAND</t>
  </si>
  <si>
    <t>ODISHA - BHUBANESHWAR</t>
  </si>
  <si>
    <t>ODISHA - REST</t>
  </si>
  <si>
    <t>SIKKIM</t>
  </si>
  <si>
    <t>TRIPURA</t>
  </si>
  <si>
    <t>WEST BENGAL - KOLKATA</t>
  </si>
  <si>
    <t>WEST BENGAL - REST</t>
  </si>
  <si>
    <t>CHATTISGARH - RAIPUR</t>
  </si>
  <si>
    <t>CHATTISGARH - REST</t>
  </si>
  <si>
    <t>ODISHA</t>
  </si>
  <si>
    <t>WEST BENGAL</t>
  </si>
  <si>
    <t>GUJARAT - AHEMDABAD</t>
  </si>
  <si>
    <t>GUJARAT - REST</t>
  </si>
  <si>
    <t>GUJARAT - SURAT</t>
  </si>
  <si>
    <t>GUJARAT - VADODARA</t>
  </si>
  <si>
    <t>Feb 2025  PAYOUT - PC COMP</t>
  </si>
  <si>
    <t>Feb 2025  PAYOUT - PCTP</t>
  </si>
  <si>
    <t>FEB 2025 PAYOUT - TW COMP</t>
  </si>
  <si>
    <t>FEB 2025 PAYOUT_TW SATP</t>
  </si>
  <si>
    <t>FEB 2025 CV</t>
  </si>
  <si>
    <t>FEB 2025 PAYOUT_CV SATP</t>
  </si>
  <si>
    <t>Product</t>
  </si>
  <si>
    <t>Type</t>
  </si>
  <si>
    <t>Payout %</t>
  </si>
  <si>
    <t>Retail Health</t>
  </si>
  <si>
    <t>Renewal</t>
  </si>
  <si>
    <t>Group Health</t>
  </si>
  <si>
    <t>Commercial Lines*</t>
  </si>
  <si>
    <t xml:space="preserve">*CL - Excluding Terrorism </t>
  </si>
  <si>
    <t>REST OF INDIA</t>
  </si>
  <si>
    <t>PUNJAB -Amritsar/Ludhiana/Pathankot/Jalandhar/Gurdaspur</t>
  </si>
  <si>
    <t>PUNJAB - Rest</t>
  </si>
  <si>
    <t>0 - 2.5T</t>
  </si>
  <si>
    <t>2.5 - 3.5T</t>
  </si>
  <si>
    <t>3.5- 7.5T</t>
  </si>
  <si>
    <t>March 2025  PAYOUT - PC COMP</t>
  </si>
  <si>
    <t>March 2025  PAYOUT - PCTP</t>
  </si>
  <si>
    <t>March 2025 PAYOUT - TW COMP</t>
  </si>
  <si>
    <t>March 2025 PAYOUT_TW SATP</t>
  </si>
  <si>
    <t>March 2025 PAYOUT_CV SATP</t>
  </si>
  <si>
    <t>March</t>
  </si>
  <si>
    <t>Geo segment New</t>
  </si>
  <si>
    <t>Geo segment Old</t>
  </si>
  <si>
    <t>ANDHRA PRADESH - 1 KV</t>
  </si>
  <si>
    <t>ANDHRA PRADESH - 2 V</t>
  </si>
  <si>
    <t>ANDHRA PRADESH - 3 R</t>
  </si>
  <si>
    <t>ASSAM - 1 GK</t>
  </si>
  <si>
    <t>ASSAM - 2 U</t>
  </si>
  <si>
    <t>ASSAM - 3 R</t>
  </si>
  <si>
    <t>CHATTISGARH - 1 RA</t>
  </si>
  <si>
    <t>CHATTISGARH - 2 R</t>
  </si>
  <si>
    <t>GUJARAT - 1 A</t>
  </si>
  <si>
    <t>GUJARAT - 2 B</t>
  </si>
  <si>
    <t>GUJARAT - 3 RA</t>
  </si>
  <si>
    <t>GUJARAT - 4 R</t>
  </si>
  <si>
    <t>GUJARAT - 4 S</t>
  </si>
  <si>
    <t>HARYANA - 1 R</t>
  </si>
  <si>
    <t>HIMACHAL PRADESH - 1 KMSO</t>
  </si>
  <si>
    <t>HIMACHAL PRADESH - 2 R</t>
  </si>
  <si>
    <t>JAMMU &amp; KASHMIR - 1 J</t>
  </si>
  <si>
    <t>JAMMU &amp; KASHMIR - 2 R</t>
  </si>
  <si>
    <t>KARNATAKA - 1 B</t>
  </si>
  <si>
    <t>KARNATAKA - 2 BD</t>
  </si>
  <si>
    <t>KARNATAKA - 3 MM</t>
  </si>
  <si>
    <t>KARNATAKA - 4 R</t>
  </si>
  <si>
    <t>KERALA - 1 CE</t>
  </si>
  <si>
    <t>KERALA - 2 N</t>
  </si>
  <si>
    <t>KERALA - 3 T</t>
  </si>
  <si>
    <t>KERALA - 4 R</t>
  </si>
  <si>
    <t>MADHYA PRADESH - 1 BI</t>
  </si>
  <si>
    <t>MADHYA PRADESH - 2 GJ</t>
  </si>
  <si>
    <t>MADHYA PRADESH - 3 R</t>
  </si>
  <si>
    <t>MAHARASHTRA - 1 M</t>
  </si>
  <si>
    <t>MAHARASHTRA - 2 P</t>
  </si>
  <si>
    <t>MAHARASHTRA - 3 N</t>
  </si>
  <si>
    <t>MAHARASHTRA - 4 K</t>
  </si>
  <si>
    <t>MAHARASHTRA - 5 R</t>
  </si>
  <si>
    <t>MAHARASHTRA - 6 R</t>
  </si>
  <si>
    <t>ODISHA - 1 B</t>
  </si>
  <si>
    <t>ODISHA - 2 R</t>
  </si>
  <si>
    <t>ODISHA - 3 R</t>
  </si>
  <si>
    <t>PUNJAB - 1 ALPJG</t>
  </si>
  <si>
    <t>PUNJAB - 2 BHR</t>
  </si>
  <si>
    <t>RAJASTHAN - 1 J</t>
  </si>
  <si>
    <t>RAJASTHAN - JAIPUR / JODHPUR / KOTA</t>
  </si>
  <si>
    <t>RAJASTHAN - 2 JOK</t>
  </si>
  <si>
    <t>RAJASTHAN - 3 U</t>
  </si>
  <si>
    <t>RAJASTHAN - 4 R</t>
  </si>
  <si>
    <t>TAMIL NADU - 1 C</t>
  </si>
  <si>
    <t>TAMIL NADU - 2 CO</t>
  </si>
  <si>
    <t>TAMIL NADU - 3 R</t>
  </si>
  <si>
    <t>TELANGANA - 1 H</t>
  </si>
  <si>
    <t>TELANGANA - 2 R</t>
  </si>
  <si>
    <t>UTTAR PRADESH - 1 VA</t>
  </si>
  <si>
    <t>UTTAR PRADESH - 2 LK</t>
  </si>
  <si>
    <t>UTTAR PRADESH - 3 G</t>
  </si>
  <si>
    <t>UTTAR PRADESH - 4 R</t>
  </si>
  <si>
    <t>UTTARAKHAND - 1 D</t>
  </si>
  <si>
    <t>UTTARAKHAND - 2 R</t>
  </si>
  <si>
    <t>WEST BENGAL - 1 K</t>
  </si>
  <si>
    <t>WEST BENGAL - 2 AD</t>
  </si>
  <si>
    <t>WEST BENGAL - 3 S</t>
  </si>
  <si>
    <t>WEST BENGAL - 4 R</t>
  </si>
  <si>
    <t>WEST BENGAL - 5 R</t>
  </si>
  <si>
    <t>#NRAJASTHAN - 3 U</t>
  </si>
  <si>
    <t>RAJASTHAN - Kota</t>
  </si>
  <si>
    <t>RAJASTHAN - Rest</t>
  </si>
  <si>
    <t>March 2025  PAYOUT - CVSATP</t>
  </si>
  <si>
    <t>&gt;2.5-3.5 Ton</t>
  </si>
  <si>
    <t>&gt;3.5~7.5 Ton</t>
  </si>
  <si>
    <t>SATP Payout</t>
  </si>
  <si>
    <t>75-150 CC</t>
  </si>
  <si>
    <t>150-350 CC</t>
  </si>
  <si>
    <t>&gt; 350 CC</t>
  </si>
  <si>
    <t>Final Grid</t>
  </si>
  <si>
    <t>Proposed Grid</t>
  </si>
  <si>
    <t>&gt;11 years</t>
  </si>
  <si>
    <t>New CV Geo Segment 2025</t>
  </si>
  <si>
    <t>New Geo Segment 2024</t>
  </si>
  <si>
    <t>Old Geo Segment</t>
  </si>
  <si>
    <t>ANDHRA PRADESH - 3 KNO</t>
  </si>
  <si>
    <t>ANDHRA PRADESH - 4 R</t>
  </si>
  <si>
    <t>GUJARAT - 3 RBJB</t>
  </si>
  <si>
    <t>GUJARAT - 5 R</t>
  </si>
  <si>
    <t>PUNJAB</t>
  </si>
  <si>
    <t>RAJASTHAN - 3 UB</t>
  </si>
  <si>
    <t>TAMIL NADU - 4 TMT</t>
  </si>
  <si>
    <t>TELANGANA - 2 AKKMWN</t>
  </si>
  <si>
    <t>TELANGANA - 3 R</t>
  </si>
  <si>
    <t>ASSAM</t>
  </si>
  <si>
    <t>CHATTISGARH</t>
  </si>
  <si>
    <t>GUJARAT - 2 BSR</t>
  </si>
  <si>
    <t>GUJARAT - 3 R</t>
  </si>
  <si>
    <t>HARYANA</t>
  </si>
  <si>
    <t>HIMACHAL PRADESH</t>
  </si>
  <si>
    <t>KARNATAKA</t>
  </si>
  <si>
    <t>KERALA</t>
  </si>
  <si>
    <t>MAHARASHTRA - 1 MPK</t>
  </si>
  <si>
    <t>MAHARASHTRA - 2 NN</t>
  </si>
  <si>
    <t>MAHARASHTRA - 3 R</t>
  </si>
  <si>
    <t>RAJASTHAN</t>
  </si>
  <si>
    <t>TAMIL NADU</t>
  </si>
  <si>
    <t xml:space="preserve">TELANGANA </t>
  </si>
  <si>
    <t>UTTAR PRADESH - 2 AK</t>
  </si>
  <si>
    <t>UTTAR PRADESH - 1 VLG</t>
  </si>
  <si>
    <t>UTTAR PRADESH - 3 R</t>
  </si>
  <si>
    <t>WEST BENGAL - 1 KAS</t>
  </si>
  <si>
    <t>WEST BENGAL - 2 R</t>
  </si>
  <si>
    <t>New CV Geo Segment 2025_&lt;7.5T</t>
  </si>
  <si>
    <t>New CV Geo Segment 2025_&gt;7.5T</t>
  </si>
  <si>
    <t>0 - 2.5T(4W)</t>
  </si>
  <si>
    <t>11+years</t>
  </si>
  <si>
    <t>3W GCV</t>
  </si>
  <si>
    <t>20 - 40T</t>
  </si>
  <si>
    <t>&gt;5 - 10 Years</t>
  </si>
  <si>
    <t>&gt;10-15 years</t>
  </si>
  <si>
    <t>CNG</t>
  </si>
  <si>
    <t>40-43.5T</t>
  </si>
  <si>
    <t>Aug 2025  PAYOUT - TWSATP</t>
  </si>
  <si>
    <t>&lt; 150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</si>
</sst>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sz val="8"/>
      <color theme="0"/>
      <name val="Aptos Narrow"/>
      <family val="2"/>
      <scheme val="minor"/>
    </font>
    <font>
      <sz val="8"/>
      <name val="Aptos Narrow"/>
      <family val="2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b/>
      <sz val="8"/>
      <color indexed="8"/>
      <name val="Calibri"/>
      <family val="2"/>
    </font>
    <font>
      <sz val="8"/>
      <color theme="0"/>
      <name val="Calibri"/>
      <family val="2"/>
    </font>
    <font>
      <sz val="8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50">
    <xf numFmtId="0" fontId="0" fillId="0" borderId="0" xfId="0"/>
    <xf numFmtId="1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3" fillId="5" borderId="1" xfId="1" applyFont="1" applyFill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/>
    </xf>
    <xf numFmtId="9" fontId="9" fillId="0" borderId="2" xfId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10" fontId="9" fillId="5" borderId="1" xfId="0" applyNumberFormat="1" applyFont="1" applyFill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9" fontId="14" fillId="0" borderId="1" xfId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0" fontId="14" fillId="2" borderId="1" xfId="0" applyNumberFormat="1" applyFont="1" applyFill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4" xfId="1" applyFont="1" applyFill="1" applyBorder="1" applyAlignment="1">
      <alignment horizontal="center" vertical="center"/>
    </xf>
    <xf numFmtId="10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0" fontId="16" fillId="0" borderId="0" xfId="0" applyFont="1"/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8" fillId="9" borderId="1" xfId="1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9" fontId="8" fillId="0" borderId="1" xfId="1" applyFont="1" applyBorder="1"/>
    <xf numFmtId="1" fontId="4" fillId="3" borderId="3" xfId="0" applyNumberFormat="1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/>
    </xf>
    <xf numFmtId="9" fontId="19" fillId="11" borderId="10" xfId="0" applyNumberFormat="1" applyFont="1" applyFill="1" applyBorder="1" applyAlignment="1">
      <alignment horizontal="center" vertical="center"/>
    </xf>
    <xf numFmtId="9" fontId="19" fillId="11" borderId="3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4" fontId="8" fillId="0" borderId="0" xfId="1" applyNumberFormat="1" applyFont="1"/>
    <xf numFmtId="164" fontId="8" fillId="5" borderId="0" xfId="1" applyNumberFormat="1" applyFont="1" applyFill="1"/>
    <xf numFmtId="9" fontId="8" fillId="0" borderId="0" xfId="1" applyFont="1"/>
    <xf numFmtId="0" fontId="17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9" fontId="7" fillId="0" borderId="1" xfId="1" applyFont="1" applyBorder="1" applyAlignment="1">
      <alignment horizontal="center"/>
    </xf>
    <xf numFmtId="0" fontId="8" fillId="0" borderId="0" xfId="0" applyFont="1" applyAlignment="1">
      <alignment horizontal="left"/>
    </xf>
    <xf numFmtId="164" fontId="8" fillId="0" borderId="1" xfId="1" applyNumberFormat="1" applyFont="1" applyFill="1" applyBorder="1"/>
    <xf numFmtId="9" fontId="7" fillId="0" borderId="1" xfId="1" applyFont="1" applyFill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8" fillId="0" borderId="1" xfId="1" applyFont="1" applyFill="1" applyBorder="1" applyAlignment="1">
      <alignment horizontal="center"/>
    </xf>
    <xf numFmtId="164" fontId="8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21" fillId="0" borderId="1" xfId="1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9" fontId="18" fillId="5" borderId="1" xfId="1" applyFont="1" applyFill="1" applyBorder="1" applyAlignment="1">
      <alignment horizontal="center" vertical="center"/>
    </xf>
    <xf numFmtId="9" fontId="8" fillId="5" borderId="1" xfId="1" applyFont="1" applyFill="1" applyBorder="1" applyAlignment="1">
      <alignment horizontal="center"/>
    </xf>
    <xf numFmtId="9" fontId="24" fillId="0" borderId="1" xfId="1" applyFont="1" applyFill="1" applyBorder="1" applyAlignment="1">
      <alignment horizontal="center"/>
    </xf>
    <xf numFmtId="9" fontId="24" fillId="0" borderId="1" xfId="0" applyNumberFormat="1" applyFont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9" fontId="7" fillId="0" borderId="1" xfId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9" fontId="26" fillId="12" borderId="1" xfId="0" applyNumberFormat="1" applyFont="1" applyFill="1" applyBorder="1" applyAlignment="1">
      <alignment horizontal="center" vertical="center"/>
    </xf>
    <xf numFmtId="9" fontId="25" fillId="5" borderId="1" xfId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9" fontId="26" fillId="11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/>
    <xf numFmtId="9" fontId="24" fillId="0" borderId="1" xfId="1" applyFont="1" applyFill="1" applyBorder="1"/>
    <xf numFmtId="9" fontId="24" fillId="5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7" fillId="0" borderId="1" xfId="0" applyNumberFormat="1" applyFont="1" applyBorder="1" applyAlignment="1">
      <alignment horizontal="center"/>
    </xf>
    <xf numFmtId="10" fontId="24" fillId="0" borderId="0" xfId="0" applyNumberFormat="1" applyFont="1" applyAlignment="1">
      <alignment horizontal="center"/>
    </xf>
    <xf numFmtId="9" fontId="8" fillId="5" borderId="1" xfId="0" applyNumberFormat="1" applyFont="1" applyFill="1" applyBorder="1" applyAlignment="1">
      <alignment horizontal="center"/>
    </xf>
    <xf numFmtId="9" fontId="7" fillId="5" borderId="1" xfId="1" applyFont="1" applyFill="1" applyBorder="1" applyAlignment="1">
      <alignment horizontal="center"/>
    </xf>
    <xf numFmtId="9" fontId="7" fillId="14" borderId="1" xfId="1" applyFont="1" applyFill="1" applyBorder="1" applyAlignment="1">
      <alignment horizontal="center"/>
    </xf>
    <xf numFmtId="9" fontId="24" fillId="0" borderId="1" xfId="1" applyFont="1" applyBorder="1"/>
    <xf numFmtId="9" fontId="24" fillId="5" borderId="1" xfId="1" applyFont="1" applyFill="1" applyBorder="1"/>
    <xf numFmtId="164" fontId="8" fillId="5" borderId="1" xfId="1" applyNumberFormat="1" applyFont="1" applyFill="1" applyBorder="1"/>
    <xf numFmtId="9" fontId="3" fillId="15" borderId="1" xfId="0" applyNumberFormat="1" applyFont="1" applyFill="1" applyBorder="1" applyAlignment="1">
      <alignment horizontal="center"/>
    </xf>
    <xf numFmtId="9" fontId="8" fillId="15" borderId="1" xfId="0" applyNumberFormat="1" applyFont="1" applyFill="1" applyBorder="1" applyAlignment="1">
      <alignment horizontal="center"/>
    </xf>
    <xf numFmtId="0" fontId="24" fillId="0" borderId="0" xfId="0" applyFont="1"/>
    <xf numFmtId="9" fontId="24" fillId="5" borderId="1" xfId="0" applyNumberFormat="1" applyFont="1" applyFill="1" applyBorder="1" applyAlignment="1">
      <alignment horizontal="center"/>
    </xf>
    <xf numFmtId="164" fontId="24" fillId="5" borderId="1" xfId="1" applyNumberFormat="1" applyFont="1" applyFill="1" applyBorder="1" applyAlignment="1">
      <alignment horizontal="center"/>
    </xf>
    <xf numFmtId="9" fontId="24" fillId="0" borderId="0" xfId="0" applyNumberFormat="1" applyFont="1"/>
    <xf numFmtId="9" fontId="24" fillId="15" borderId="1" xfId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1" fontId="4" fillId="3" borderId="3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9" fontId="18" fillId="5" borderId="2" xfId="1" applyFont="1" applyFill="1" applyBorder="1" applyAlignment="1">
      <alignment horizontal="center" vertical="center"/>
    </xf>
    <xf numFmtId="9" fontId="18" fillId="5" borderId="13" xfId="1" applyFont="1" applyFill="1" applyBorder="1" applyAlignment="1">
      <alignment horizontal="center" vertical="center"/>
    </xf>
    <xf numFmtId="9" fontId="18" fillId="5" borderId="12" xfId="1" applyFont="1" applyFill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9" fontId="3" fillId="5" borderId="2" xfId="1" applyFont="1" applyFill="1" applyBorder="1" applyAlignment="1">
      <alignment horizontal="center" vertical="center"/>
    </xf>
    <xf numFmtId="9" fontId="3" fillId="5" borderId="13" xfId="1" applyFont="1" applyFill="1" applyBorder="1" applyAlignment="1">
      <alignment horizontal="center" vertical="center"/>
    </xf>
    <xf numFmtId="9" fontId="3" fillId="5" borderId="12" xfId="1" applyFont="1" applyFill="1" applyBorder="1" applyAlignment="1">
      <alignment horizontal="center" vertical="center"/>
    </xf>
    <xf numFmtId="9" fontId="25" fillId="5" borderId="2" xfId="1" applyFont="1" applyFill="1" applyBorder="1" applyAlignment="1">
      <alignment horizontal="center" vertical="center"/>
    </xf>
    <xf numFmtId="9" fontId="25" fillId="5" borderId="13" xfId="1" applyFont="1" applyFill="1" applyBorder="1" applyAlignment="1">
      <alignment horizontal="center" vertical="center"/>
    </xf>
    <xf numFmtId="9" fontId="25" fillId="5" borderId="12" xfId="1" applyFont="1" applyFill="1" applyBorder="1" applyAlignment="1">
      <alignment horizontal="center" vertical="center"/>
    </xf>
    <xf numFmtId="9" fontId="25" fillId="5" borderId="1" xfId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9" fontId="26" fillId="11" borderId="2" xfId="0" applyNumberFormat="1" applyFont="1" applyFill="1" applyBorder="1" applyAlignment="1">
      <alignment horizontal="center" vertical="center"/>
    </xf>
    <xf numFmtId="9" fontId="26" fillId="11" borderId="13" xfId="0" applyNumberFormat="1" applyFont="1" applyFill="1" applyBorder="1" applyAlignment="1">
      <alignment horizontal="center" vertical="center"/>
    </xf>
    <xf numFmtId="9" fontId="26" fillId="11" borderId="12" xfId="0" applyNumberFormat="1" applyFont="1" applyFill="1" applyBorder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9" fontId="26" fillId="11" borderId="15" xfId="0" applyNumberFormat="1" applyFont="1" applyFill="1" applyBorder="1" applyAlignment="1">
      <alignment horizontal="center" vertical="center"/>
    </xf>
    <xf numFmtId="9" fontId="26" fillId="11" borderId="14" xfId="0" applyNumberFormat="1" applyFont="1" applyFill="1" applyBorder="1" applyAlignment="1">
      <alignment horizontal="center" vertical="center"/>
    </xf>
    <xf numFmtId="9" fontId="26" fillId="12" borderId="1" xfId="0" applyNumberFormat="1" applyFont="1" applyFill="1" applyBorder="1" applyAlignment="1">
      <alignment horizontal="center" vertical="center"/>
    </xf>
    <xf numFmtId="9" fontId="26" fillId="12" borderId="3" xfId="0" applyNumberFormat="1" applyFont="1" applyFill="1" applyBorder="1" applyAlignment="1">
      <alignment horizontal="center" vertical="center"/>
    </xf>
    <xf numFmtId="9" fontId="26" fillId="11" borderId="9" xfId="0" applyNumberFormat="1" applyFont="1" applyFill="1" applyBorder="1" applyAlignment="1">
      <alignment horizontal="center" vertical="center" wrapText="1"/>
    </xf>
    <xf numFmtId="9" fontId="26" fillId="11" borderId="11" xfId="0" applyNumberFormat="1" applyFont="1" applyFill="1" applyBorder="1" applyAlignment="1">
      <alignment horizontal="center" vertical="center" wrapText="1"/>
    </xf>
    <xf numFmtId="9" fontId="19" fillId="11" borderId="9" xfId="0" applyNumberFormat="1" applyFont="1" applyFill="1" applyBorder="1" applyAlignment="1">
      <alignment horizontal="center" vertical="center" wrapText="1"/>
    </xf>
    <xf numFmtId="9" fontId="19" fillId="11" borderId="11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18" fillId="11" borderId="8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9" fontId="19" fillId="12" borderId="1" xfId="0" applyNumberFormat="1" applyFont="1" applyFill="1" applyBorder="1" applyAlignment="1">
      <alignment horizontal="center" vertical="center"/>
    </xf>
    <xf numFmtId="9" fontId="19" fillId="12" borderId="3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9" fontId="3" fillId="8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17" fontId="15" fillId="2" borderId="1" xfId="0" quotePrefix="1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</cellXfs>
  <cellStyles count="3">
    <cellStyle name="Normal" xfId="0" builtinId="0"/>
    <cellStyle name="Normal 12" xfId="2" xr:uid="{A48405A4-5E8B-47D9-8B7A-6D62F3164D8B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F6B0-82BD-40DC-9A6A-76B4EF8B3CC7}">
  <sheetPr filterMode="1"/>
  <dimension ref="A1:I75"/>
  <sheetViews>
    <sheetView workbookViewId="0">
      <pane ySplit="2" topLeftCell="A3" activePane="bottomLeft" state="frozen"/>
      <selection pane="bottomLeft" activeCell="G39" sqref="G39"/>
    </sheetView>
  </sheetViews>
  <sheetFormatPr defaultColWidth="9.140625" defaultRowHeight="11.25" x14ac:dyDescent="0.2"/>
  <cols>
    <col min="1" max="1" width="20.5703125" style="58" bestFit="1" customWidth="1"/>
    <col min="2" max="2" width="52.42578125" style="58" bestFit="1" customWidth="1"/>
    <col min="3" max="7" width="13.140625" style="8" customWidth="1"/>
    <col min="8" max="16384" width="9.140625" style="8"/>
  </cols>
  <sheetData>
    <row r="1" spans="1:9" x14ac:dyDescent="0.2">
      <c r="C1" s="99" t="s">
        <v>216</v>
      </c>
      <c r="D1" s="99"/>
      <c r="E1" s="99"/>
      <c r="F1" s="99"/>
      <c r="G1" s="99"/>
    </row>
    <row r="2" spans="1:9" ht="22.5" x14ac:dyDescent="0.2">
      <c r="A2" s="45" t="s">
        <v>143</v>
      </c>
      <c r="B2" s="45" t="s">
        <v>144</v>
      </c>
      <c r="C2" s="55" t="s">
        <v>2</v>
      </c>
      <c r="D2" s="55" t="s">
        <v>3</v>
      </c>
      <c r="E2" s="55" t="s">
        <v>4</v>
      </c>
      <c r="F2" s="55" t="s">
        <v>5</v>
      </c>
      <c r="G2" s="55" t="s">
        <v>6</v>
      </c>
    </row>
    <row r="3" spans="1:9" hidden="1" x14ac:dyDescent="0.2">
      <c r="A3" s="56" t="s">
        <v>145</v>
      </c>
      <c r="B3" s="56" t="s">
        <v>7</v>
      </c>
      <c r="C3" s="57">
        <v>0.27999999999999997</v>
      </c>
      <c r="D3" s="57">
        <v>0.21</v>
      </c>
      <c r="E3" s="57">
        <v>0.25</v>
      </c>
      <c r="F3" s="60">
        <v>0.185</v>
      </c>
      <c r="G3" s="60">
        <v>0.20499999999999999</v>
      </c>
    </row>
    <row r="4" spans="1:9" hidden="1" x14ac:dyDescent="0.2">
      <c r="A4" s="56" t="s">
        <v>146</v>
      </c>
      <c r="B4" s="56" t="s">
        <v>10</v>
      </c>
      <c r="C4" s="57">
        <v>0.27</v>
      </c>
      <c r="D4" s="57">
        <v>0.23499999999999999</v>
      </c>
      <c r="E4" s="57">
        <v>0.23499999999999999</v>
      </c>
      <c r="F4" s="60">
        <v>0.185</v>
      </c>
      <c r="G4" s="60">
        <v>0.19</v>
      </c>
    </row>
    <row r="5" spans="1:9" hidden="1" x14ac:dyDescent="0.2">
      <c r="A5" s="56" t="s">
        <v>147</v>
      </c>
      <c r="B5" s="56" t="s">
        <v>9</v>
      </c>
      <c r="C5" s="60">
        <v>0.27</v>
      </c>
      <c r="D5" s="60">
        <v>0.21</v>
      </c>
      <c r="E5" s="60">
        <v>0.25</v>
      </c>
      <c r="F5" s="60">
        <v>0.185</v>
      </c>
      <c r="G5" s="60">
        <v>0.19</v>
      </c>
      <c r="H5" s="54"/>
      <c r="I5" s="54"/>
    </row>
    <row r="6" spans="1:9" hidden="1" x14ac:dyDescent="0.2">
      <c r="A6" s="56" t="s">
        <v>93</v>
      </c>
      <c r="B6" s="56" t="s">
        <v>93</v>
      </c>
      <c r="C6" s="60">
        <v>0.215</v>
      </c>
      <c r="D6" s="60">
        <v>0.215</v>
      </c>
      <c r="E6" s="60">
        <v>0.215</v>
      </c>
      <c r="F6" s="60">
        <v>0.185</v>
      </c>
      <c r="G6" s="60">
        <v>0.19</v>
      </c>
      <c r="H6" s="54"/>
      <c r="I6" s="54"/>
    </row>
    <row r="7" spans="1:9" hidden="1" x14ac:dyDescent="0.2">
      <c r="A7" s="56" t="s">
        <v>148</v>
      </c>
      <c r="B7" s="56" t="s">
        <v>94</v>
      </c>
      <c r="C7" s="60">
        <v>0.215</v>
      </c>
      <c r="D7" s="60">
        <v>0.19</v>
      </c>
      <c r="E7" s="60">
        <v>0.19</v>
      </c>
      <c r="F7" s="60">
        <v>0.185</v>
      </c>
      <c r="G7" s="60">
        <v>0.19</v>
      </c>
      <c r="H7" s="54"/>
      <c r="I7" s="54"/>
    </row>
    <row r="8" spans="1:9" hidden="1" x14ac:dyDescent="0.2">
      <c r="A8" s="56" t="s">
        <v>149</v>
      </c>
      <c r="B8" s="56" t="s">
        <v>96</v>
      </c>
      <c r="C8" s="60">
        <v>0.215</v>
      </c>
      <c r="D8" s="60">
        <v>0.19</v>
      </c>
      <c r="E8" s="60">
        <v>0.19</v>
      </c>
      <c r="F8" s="60">
        <v>0.185</v>
      </c>
      <c r="G8" s="60">
        <v>0.19</v>
      </c>
      <c r="H8" s="54"/>
      <c r="I8" s="54"/>
    </row>
    <row r="9" spans="1:9" hidden="1" x14ac:dyDescent="0.2">
      <c r="A9" s="56" t="s">
        <v>150</v>
      </c>
      <c r="B9" s="56" t="s">
        <v>95</v>
      </c>
      <c r="C9" s="60">
        <v>0.215</v>
      </c>
      <c r="D9" s="60">
        <v>0.19</v>
      </c>
      <c r="E9" s="60">
        <v>0.19</v>
      </c>
      <c r="F9" s="60">
        <v>0.185</v>
      </c>
      <c r="G9" s="60">
        <v>0.19</v>
      </c>
      <c r="H9" s="54"/>
      <c r="I9" s="54"/>
    </row>
    <row r="10" spans="1:9" hidden="1" x14ac:dyDescent="0.2">
      <c r="A10" s="56" t="s">
        <v>97</v>
      </c>
      <c r="B10" s="56" t="s">
        <v>97</v>
      </c>
      <c r="C10" s="60">
        <v>0.27999999999999997</v>
      </c>
      <c r="D10" s="60">
        <v>0.21</v>
      </c>
      <c r="E10" s="60">
        <v>0.26</v>
      </c>
      <c r="F10" s="60">
        <v>0.185</v>
      </c>
      <c r="G10" s="60">
        <v>0.19</v>
      </c>
      <c r="H10" s="54"/>
      <c r="I10" s="54"/>
    </row>
    <row r="11" spans="1:9" hidden="1" x14ac:dyDescent="0.2">
      <c r="A11" s="56" t="s">
        <v>62</v>
      </c>
      <c r="B11" s="56" t="s">
        <v>62</v>
      </c>
      <c r="C11" s="61">
        <v>0.29499999999999998</v>
      </c>
      <c r="D11" s="61">
        <v>0.25</v>
      </c>
      <c r="E11" s="61">
        <v>0.245</v>
      </c>
      <c r="F11" s="61">
        <v>0.185</v>
      </c>
      <c r="G11" s="61">
        <v>0.25</v>
      </c>
      <c r="H11" s="54"/>
      <c r="I11" s="54"/>
    </row>
    <row r="12" spans="1:9" hidden="1" x14ac:dyDescent="0.2">
      <c r="A12" s="56" t="s">
        <v>151</v>
      </c>
      <c r="B12" s="56" t="s">
        <v>109</v>
      </c>
      <c r="C12" s="60">
        <v>0</v>
      </c>
      <c r="D12" s="60">
        <v>0</v>
      </c>
      <c r="E12" s="60">
        <v>0</v>
      </c>
      <c r="F12" s="60">
        <v>0</v>
      </c>
      <c r="G12" s="60">
        <v>0</v>
      </c>
      <c r="H12" s="54"/>
      <c r="I12" s="54"/>
    </row>
    <row r="13" spans="1:9" hidden="1" x14ac:dyDescent="0.2">
      <c r="A13" s="56" t="s">
        <v>152</v>
      </c>
      <c r="B13" s="56" t="s">
        <v>110</v>
      </c>
      <c r="C13" s="60">
        <v>0</v>
      </c>
      <c r="D13" s="60">
        <v>0</v>
      </c>
      <c r="E13" s="60">
        <v>0</v>
      </c>
      <c r="F13" s="60">
        <v>0</v>
      </c>
      <c r="G13" s="60">
        <v>0</v>
      </c>
      <c r="H13" s="54"/>
      <c r="I13" s="54"/>
    </row>
    <row r="14" spans="1:9" hidden="1" x14ac:dyDescent="0.2">
      <c r="A14" s="56" t="s">
        <v>63</v>
      </c>
      <c r="B14" s="56" t="s">
        <v>63</v>
      </c>
      <c r="C14" s="61">
        <v>0.29499999999999998</v>
      </c>
      <c r="D14" s="60">
        <v>0.26</v>
      </c>
      <c r="E14" s="61">
        <v>0.3</v>
      </c>
      <c r="F14" s="61">
        <v>0.185</v>
      </c>
      <c r="G14" s="61">
        <v>0.25</v>
      </c>
      <c r="H14" s="54"/>
      <c r="I14" s="54"/>
    </row>
    <row r="15" spans="1:9" x14ac:dyDescent="0.2">
      <c r="A15" s="56" t="s">
        <v>52</v>
      </c>
      <c r="B15" s="56" t="s">
        <v>52</v>
      </c>
      <c r="C15" s="60">
        <v>0.24</v>
      </c>
      <c r="D15" s="60">
        <v>0.21</v>
      </c>
      <c r="E15" s="60">
        <v>0.24</v>
      </c>
      <c r="F15" s="60">
        <v>0.185</v>
      </c>
      <c r="G15" s="60">
        <v>0.19</v>
      </c>
      <c r="H15" s="54"/>
      <c r="I15" s="54"/>
    </row>
    <row r="16" spans="1:9" hidden="1" x14ac:dyDescent="0.2">
      <c r="A16" s="56" t="s">
        <v>153</v>
      </c>
      <c r="B16" s="56" t="s">
        <v>113</v>
      </c>
      <c r="C16" s="60">
        <v>0.3</v>
      </c>
      <c r="D16" s="61">
        <v>0.25</v>
      </c>
      <c r="E16" s="62">
        <v>0.3</v>
      </c>
      <c r="F16" s="61">
        <v>0.185</v>
      </c>
      <c r="G16" s="61">
        <v>0.25</v>
      </c>
      <c r="H16" s="54"/>
      <c r="I16" s="54"/>
    </row>
    <row r="17" spans="1:9" hidden="1" x14ac:dyDescent="0.2">
      <c r="A17" s="56" t="s">
        <v>154</v>
      </c>
      <c r="B17" s="56" t="s">
        <v>116</v>
      </c>
      <c r="C17" s="60">
        <v>0.3</v>
      </c>
      <c r="D17" s="61">
        <v>0.25</v>
      </c>
      <c r="E17" s="62">
        <v>0.3</v>
      </c>
      <c r="F17" s="61">
        <v>0.185</v>
      </c>
      <c r="G17" s="61">
        <v>0.25</v>
      </c>
      <c r="H17" s="54"/>
      <c r="I17" s="54"/>
    </row>
    <row r="18" spans="1:9" hidden="1" x14ac:dyDescent="0.2">
      <c r="A18" s="56" t="s">
        <v>155</v>
      </c>
      <c r="B18" s="56" t="s">
        <v>114</v>
      </c>
      <c r="C18" s="60">
        <v>0.3</v>
      </c>
      <c r="D18" s="60">
        <v>0.14499999999999999</v>
      </c>
      <c r="E18" s="61">
        <v>0.25</v>
      </c>
      <c r="F18" s="60">
        <v>0.14499999999999999</v>
      </c>
      <c r="G18" s="61">
        <v>0.25</v>
      </c>
      <c r="H18" s="54"/>
      <c r="I18" s="54"/>
    </row>
    <row r="19" spans="1:9" hidden="1" x14ac:dyDescent="0.2">
      <c r="A19" s="56" t="s">
        <v>156</v>
      </c>
      <c r="B19" s="56" t="s">
        <v>114</v>
      </c>
      <c r="C19" s="60">
        <v>0.3</v>
      </c>
      <c r="D19" s="60">
        <v>0.14499999999999999</v>
      </c>
      <c r="E19" s="61">
        <v>0.25</v>
      </c>
      <c r="F19" s="60">
        <v>0.14499999999999999</v>
      </c>
      <c r="G19" s="61">
        <v>0.25</v>
      </c>
      <c r="H19" s="54"/>
      <c r="I19" s="54"/>
    </row>
    <row r="20" spans="1:9" hidden="1" x14ac:dyDescent="0.2">
      <c r="A20" s="56" t="s">
        <v>157</v>
      </c>
      <c r="B20" s="56" t="s">
        <v>115</v>
      </c>
      <c r="C20" s="60">
        <v>0.3</v>
      </c>
      <c r="D20" s="60">
        <v>0.14499999999999999</v>
      </c>
      <c r="E20" s="61">
        <v>0.25</v>
      </c>
      <c r="F20" s="60">
        <v>0.14499999999999999</v>
      </c>
      <c r="G20" s="61">
        <v>0.25</v>
      </c>
      <c r="H20" s="54"/>
      <c r="I20" s="54"/>
    </row>
    <row r="21" spans="1:9" hidden="1" x14ac:dyDescent="0.2">
      <c r="A21" s="56" t="s">
        <v>158</v>
      </c>
      <c r="B21" s="56" t="s">
        <v>64</v>
      </c>
      <c r="C21" s="60">
        <v>0.13999999999999999</v>
      </c>
      <c r="D21" s="60">
        <v>0.14499999999999999</v>
      </c>
      <c r="E21" s="60">
        <v>0.14000000000000001</v>
      </c>
      <c r="F21" s="60">
        <v>0.14499999999999999</v>
      </c>
      <c r="G21" s="60">
        <v>0.14499999999999999</v>
      </c>
      <c r="H21" s="54"/>
      <c r="I21" s="54"/>
    </row>
    <row r="22" spans="1:9" hidden="1" x14ac:dyDescent="0.2">
      <c r="A22" s="56" t="s">
        <v>159</v>
      </c>
      <c r="B22" s="56" t="s">
        <v>65</v>
      </c>
      <c r="C22" s="60">
        <v>0.27999999999999997</v>
      </c>
      <c r="D22" s="60">
        <v>0.23499999999999999</v>
      </c>
      <c r="E22" s="60">
        <v>0.23499999999999999</v>
      </c>
      <c r="F22" s="60">
        <v>0.185</v>
      </c>
      <c r="G22" s="60">
        <v>0.19</v>
      </c>
      <c r="H22" s="54"/>
      <c r="I22" s="54"/>
    </row>
    <row r="23" spans="1:9" hidden="1" x14ac:dyDescent="0.2">
      <c r="A23" s="56" t="s">
        <v>160</v>
      </c>
      <c r="B23" s="56" t="s">
        <v>66</v>
      </c>
      <c r="C23" s="60">
        <v>0.27999999999999997</v>
      </c>
      <c r="D23" s="60">
        <v>0.24</v>
      </c>
      <c r="E23" s="60">
        <v>0.245</v>
      </c>
      <c r="F23" s="60">
        <v>0.185</v>
      </c>
      <c r="G23" s="60">
        <v>0.19</v>
      </c>
      <c r="H23" s="54"/>
      <c r="I23" s="54"/>
    </row>
    <row r="24" spans="1:9" hidden="1" x14ac:dyDescent="0.2">
      <c r="A24" s="56" t="s">
        <v>161</v>
      </c>
      <c r="B24" s="56" t="s">
        <v>67</v>
      </c>
      <c r="C24" s="60">
        <v>0.29499999999999998</v>
      </c>
      <c r="D24" s="60">
        <v>0.24</v>
      </c>
      <c r="E24" s="60">
        <v>0.255</v>
      </c>
      <c r="F24" s="60">
        <v>0.14499999999999999</v>
      </c>
      <c r="G24" s="60">
        <v>0.20499999999999999</v>
      </c>
      <c r="H24" s="54"/>
      <c r="I24" s="54"/>
    </row>
    <row r="25" spans="1:9" hidden="1" x14ac:dyDescent="0.2">
      <c r="A25" s="56" t="s">
        <v>162</v>
      </c>
      <c r="B25" s="56" t="s">
        <v>68</v>
      </c>
      <c r="C25" s="60">
        <v>0.27</v>
      </c>
      <c r="D25" s="60">
        <v>0.24</v>
      </c>
      <c r="E25" s="60">
        <v>0.255</v>
      </c>
      <c r="F25" s="60">
        <v>0.185</v>
      </c>
      <c r="G25" s="60">
        <v>0.20499999999999999</v>
      </c>
      <c r="H25" s="54"/>
      <c r="I25" s="54"/>
    </row>
    <row r="26" spans="1:9" hidden="1" x14ac:dyDescent="0.2">
      <c r="A26" s="56" t="s">
        <v>98</v>
      </c>
      <c r="B26" s="56" t="s">
        <v>98</v>
      </c>
      <c r="C26" s="60">
        <v>0.27999999999999997</v>
      </c>
      <c r="D26" s="60">
        <v>0.21</v>
      </c>
      <c r="E26" s="60">
        <v>0.26</v>
      </c>
      <c r="F26" s="60">
        <v>0.185</v>
      </c>
      <c r="G26" s="60">
        <v>0.19</v>
      </c>
      <c r="H26" s="54"/>
      <c r="I26" s="54"/>
    </row>
    <row r="27" spans="1:9" hidden="1" x14ac:dyDescent="0.2">
      <c r="A27" s="56" t="s">
        <v>163</v>
      </c>
      <c r="B27" s="56" t="s">
        <v>11</v>
      </c>
      <c r="C27" s="60">
        <v>0.3</v>
      </c>
      <c r="D27" s="61">
        <v>0.23</v>
      </c>
      <c r="E27" s="62">
        <v>0.25</v>
      </c>
      <c r="F27" s="61">
        <v>0.185</v>
      </c>
      <c r="G27" s="61">
        <v>0.25</v>
      </c>
      <c r="H27" s="54"/>
      <c r="I27" s="54"/>
    </row>
    <row r="28" spans="1:9" hidden="1" x14ac:dyDescent="0.2">
      <c r="A28" s="56" t="s">
        <v>164</v>
      </c>
      <c r="B28" s="56" t="s">
        <v>13</v>
      </c>
      <c r="C28" s="60">
        <v>0.3</v>
      </c>
      <c r="D28" s="61">
        <v>0.23</v>
      </c>
      <c r="E28" s="61">
        <v>0.25</v>
      </c>
      <c r="F28" s="60">
        <v>0.14499999999999999</v>
      </c>
      <c r="G28" s="61">
        <v>0.25</v>
      </c>
      <c r="H28" s="54"/>
      <c r="I28" s="54"/>
    </row>
    <row r="29" spans="1:9" hidden="1" x14ac:dyDescent="0.2">
      <c r="A29" s="56" t="s">
        <v>165</v>
      </c>
      <c r="B29" s="56" t="s">
        <v>12</v>
      </c>
      <c r="C29" s="60">
        <v>0.3</v>
      </c>
      <c r="D29" s="61">
        <v>0.23</v>
      </c>
      <c r="E29" s="61">
        <v>0.25</v>
      </c>
      <c r="F29" s="60">
        <v>0.14499999999999999</v>
      </c>
      <c r="G29" s="61">
        <v>0.25</v>
      </c>
      <c r="H29" s="54"/>
      <c r="I29" s="54"/>
    </row>
    <row r="30" spans="1:9" hidden="1" x14ac:dyDescent="0.2">
      <c r="A30" s="56" t="s">
        <v>166</v>
      </c>
      <c r="B30" s="56" t="s">
        <v>13</v>
      </c>
      <c r="C30" s="60">
        <v>0.3</v>
      </c>
      <c r="D30" s="61">
        <v>0.23</v>
      </c>
      <c r="E30" s="61">
        <v>0.25</v>
      </c>
      <c r="F30" s="60">
        <v>0.14499999999999999</v>
      </c>
      <c r="G30" s="61">
        <v>0.25</v>
      </c>
      <c r="H30" s="54"/>
      <c r="I30" s="54"/>
    </row>
    <row r="31" spans="1:9" hidden="1" x14ac:dyDescent="0.2">
      <c r="A31" s="56" t="s">
        <v>167</v>
      </c>
      <c r="B31" s="56" t="s">
        <v>14</v>
      </c>
      <c r="C31" s="60">
        <v>0.16499999999999998</v>
      </c>
      <c r="D31" s="60">
        <v>0.16999999999999998</v>
      </c>
      <c r="E31" s="60">
        <v>0.16499999999999998</v>
      </c>
      <c r="F31" s="60">
        <v>0.185</v>
      </c>
      <c r="G31" s="60">
        <v>0.19</v>
      </c>
      <c r="H31" s="54"/>
      <c r="I31" s="54"/>
    </row>
    <row r="32" spans="1:9" hidden="1" x14ac:dyDescent="0.2">
      <c r="A32" s="56" t="s">
        <v>168</v>
      </c>
      <c r="B32" s="56" t="s">
        <v>15</v>
      </c>
      <c r="C32" s="60">
        <v>0.13999999999999999</v>
      </c>
      <c r="D32" s="60">
        <v>0.14499999999999999</v>
      </c>
      <c r="E32" s="60">
        <v>0.14000000000000001</v>
      </c>
      <c r="F32" s="60">
        <v>0.11499999999999999</v>
      </c>
      <c r="G32" s="60">
        <v>0.11499999999999999</v>
      </c>
      <c r="H32" s="54"/>
      <c r="I32" s="54"/>
    </row>
    <row r="33" spans="1:9" hidden="1" x14ac:dyDescent="0.2">
      <c r="A33" s="56" t="s">
        <v>169</v>
      </c>
      <c r="B33" s="56" t="s">
        <v>16</v>
      </c>
      <c r="C33" s="60">
        <v>0.13999999999999999</v>
      </c>
      <c r="D33" s="60">
        <v>0.14499999999999999</v>
      </c>
      <c r="E33" s="60">
        <v>0.14000000000000001</v>
      </c>
      <c r="F33" s="60">
        <v>0.11499999999999999</v>
      </c>
      <c r="G33" s="60">
        <v>0.11499999999999999</v>
      </c>
      <c r="H33" s="54"/>
      <c r="I33" s="54"/>
    </row>
    <row r="34" spans="1:9" hidden="1" x14ac:dyDescent="0.2">
      <c r="A34" s="56" t="s">
        <v>170</v>
      </c>
      <c r="B34" s="56" t="s">
        <v>16</v>
      </c>
      <c r="C34" s="60">
        <v>0.13999999999999999</v>
      </c>
      <c r="D34" s="60">
        <v>0.14499999999999999</v>
      </c>
      <c r="E34" s="60">
        <v>0.14000000000000001</v>
      </c>
      <c r="F34" s="60">
        <v>0.11499999999999999</v>
      </c>
      <c r="G34" s="60">
        <v>0.11499999999999999</v>
      </c>
      <c r="H34" s="54"/>
      <c r="I34" s="54"/>
    </row>
    <row r="35" spans="1:9" hidden="1" x14ac:dyDescent="0.2">
      <c r="A35" s="56" t="s">
        <v>171</v>
      </c>
      <c r="B35" s="56" t="s">
        <v>53</v>
      </c>
      <c r="C35" s="61">
        <v>0.25</v>
      </c>
      <c r="D35" s="61">
        <v>0</v>
      </c>
      <c r="E35" s="60">
        <v>0.11499999999999999</v>
      </c>
      <c r="F35" s="60">
        <v>0.11499999999999999</v>
      </c>
      <c r="G35" s="61">
        <v>0.19</v>
      </c>
      <c r="H35" s="54"/>
      <c r="I35" s="54"/>
    </row>
    <row r="36" spans="1:9" hidden="1" x14ac:dyDescent="0.2">
      <c r="A36" s="56" t="s">
        <v>172</v>
      </c>
      <c r="B36" s="56" t="s">
        <v>55</v>
      </c>
      <c r="C36" s="61">
        <v>0.25</v>
      </c>
      <c r="D36" s="61">
        <v>0</v>
      </c>
      <c r="E36" s="60">
        <v>0.11499999999999999</v>
      </c>
      <c r="F36" s="60">
        <v>9.5000000000000001E-2</v>
      </c>
      <c r="G36" s="61">
        <v>0.19</v>
      </c>
      <c r="H36" s="54"/>
      <c r="I36" s="54"/>
    </row>
    <row r="37" spans="1:9" hidden="1" x14ac:dyDescent="0.2">
      <c r="A37" s="56" t="s">
        <v>173</v>
      </c>
      <c r="B37" s="56" t="s">
        <v>56</v>
      </c>
      <c r="C37" s="61">
        <v>0.25</v>
      </c>
      <c r="D37" s="61">
        <v>0</v>
      </c>
      <c r="E37" s="60">
        <v>0.11499999999999999</v>
      </c>
      <c r="F37" s="60">
        <v>9.5000000000000001E-2</v>
      </c>
      <c r="G37" s="61">
        <v>0.19</v>
      </c>
      <c r="H37" s="54"/>
      <c r="I37" s="54"/>
    </row>
    <row r="38" spans="1:9" x14ac:dyDescent="0.2">
      <c r="A38" s="56" t="s">
        <v>174</v>
      </c>
      <c r="B38" s="56" t="s">
        <v>57</v>
      </c>
      <c r="C38" s="61">
        <v>0.29499999999999998</v>
      </c>
      <c r="D38" s="61">
        <v>0.3</v>
      </c>
      <c r="E38" s="61">
        <v>0.3</v>
      </c>
      <c r="F38" s="61">
        <v>0.185</v>
      </c>
      <c r="G38" s="61">
        <v>0.25</v>
      </c>
      <c r="H38" s="54"/>
      <c r="I38" s="54"/>
    </row>
    <row r="39" spans="1:9" x14ac:dyDescent="0.2">
      <c r="A39" s="56" t="s">
        <v>175</v>
      </c>
      <c r="B39" s="56" t="s">
        <v>61</v>
      </c>
      <c r="C39" s="61">
        <v>0.29499999999999998</v>
      </c>
      <c r="D39" s="61">
        <v>0.3</v>
      </c>
      <c r="E39" s="61">
        <v>0.3</v>
      </c>
      <c r="F39" s="61">
        <v>0.185</v>
      </c>
      <c r="G39" s="61">
        <v>0.25</v>
      </c>
      <c r="H39" s="54"/>
      <c r="I39" s="54"/>
    </row>
    <row r="40" spans="1:9" x14ac:dyDescent="0.2">
      <c r="A40" s="56" t="s">
        <v>176</v>
      </c>
      <c r="B40" s="56" t="s">
        <v>59</v>
      </c>
      <c r="C40" s="61">
        <v>0.29499999999999998</v>
      </c>
      <c r="D40" s="60">
        <v>0.25</v>
      </c>
      <c r="E40" s="60">
        <v>0.25</v>
      </c>
      <c r="F40" s="61">
        <v>0.185</v>
      </c>
      <c r="G40" s="61">
        <v>0.23</v>
      </c>
      <c r="H40" s="54"/>
      <c r="I40" s="54"/>
    </row>
    <row r="41" spans="1:9" x14ac:dyDescent="0.2">
      <c r="A41" s="56" t="s">
        <v>177</v>
      </c>
      <c r="B41" s="56" t="s">
        <v>60</v>
      </c>
      <c r="C41" s="61">
        <v>0.29499999999999998</v>
      </c>
      <c r="D41" s="60">
        <v>0.25</v>
      </c>
      <c r="E41" s="60">
        <v>0.25</v>
      </c>
      <c r="F41" s="61">
        <v>0.185</v>
      </c>
      <c r="G41" s="61">
        <v>0.23</v>
      </c>
      <c r="H41" s="54"/>
      <c r="I41" s="54"/>
    </row>
    <row r="42" spans="1:9" x14ac:dyDescent="0.2">
      <c r="A42" s="56" t="s">
        <v>178</v>
      </c>
      <c r="B42" s="56" t="s">
        <v>60</v>
      </c>
      <c r="C42" s="61">
        <v>0.29499999999999998</v>
      </c>
      <c r="D42" s="60">
        <v>0.25</v>
      </c>
      <c r="E42" s="60">
        <v>0.25</v>
      </c>
      <c r="F42" s="61">
        <v>0.185</v>
      </c>
      <c r="G42" s="61">
        <v>0.23</v>
      </c>
      <c r="H42" s="54"/>
      <c r="I42" s="54"/>
    </row>
    <row r="43" spans="1:9" x14ac:dyDescent="0.2">
      <c r="A43" s="56" t="s">
        <v>179</v>
      </c>
      <c r="B43" s="56" t="s">
        <v>60</v>
      </c>
      <c r="C43" s="61">
        <v>0.29499999999999998</v>
      </c>
      <c r="D43" s="60">
        <v>0.25</v>
      </c>
      <c r="E43" s="60">
        <v>0.25</v>
      </c>
      <c r="F43" s="61">
        <v>0.185</v>
      </c>
      <c r="G43" s="61">
        <v>0.23</v>
      </c>
      <c r="H43" s="54"/>
      <c r="I43" s="54"/>
    </row>
    <row r="44" spans="1:9" hidden="1" x14ac:dyDescent="0.2">
      <c r="A44" s="56" t="s">
        <v>99</v>
      </c>
      <c r="B44" s="56" t="s">
        <v>99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54"/>
      <c r="I44" s="54"/>
    </row>
    <row r="45" spans="1:9" hidden="1" x14ac:dyDescent="0.2">
      <c r="A45" s="56" t="s">
        <v>100</v>
      </c>
      <c r="B45" s="56" t="s">
        <v>100</v>
      </c>
      <c r="C45" s="60">
        <v>0.24</v>
      </c>
      <c r="D45" s="60">
        <v>0.22500000000000001</v>
      </c>
      <c r="E45" s="60">
        <v>0.22500000000000001</v>
      </c>
      <c r="F45" s="60">
        <v>0.185</v>
      </c>
      <c r="G45" s="60">
        <v>0.19</v>
      </c>
      <c r="H45" s="54"/>
      <c r="I45" s="54"/>
    </row>
    <row r="46" spans="1:9" hidden="1" x14ac:dyDescent="0.2">
      <c r="A46" s="56" t="s">
        <v>101</v>
      </c>
      <c r="B46" s="56" t="s">
        <v>101</v>
      </c>
      <c r="C46" s="60">
        <v>0.24</v>
      </c>
      <c r="D46" s="60">
        <v>0.22500000000000001</v>
      </c>
      <c r="E46" s="60">
        <v>0.22500000000000001</v>
      </c>
      <c r="F46" s="60">
        <v>0.185</v>
      </c>
      <c r="G46" s="60">
        <v>0.19</v>
      </c>
      <c r="H46" s="54"/>
      <c r="I46" s="54"/>
    </row>
    <row r="47" spans="1:9" hidden="1" x14ac:dyDescent="0.2">
      <c r="A47" s="56" t="s">
        <v>102</v>
      </c>
      <c r="B47" s="56" t="s">
        <v>102</v>
      </c>
      <c r="C47" s="60">
        <v>0</v>
      </c>
      <c r="D47" s="60">
        <v>0</v>
      </c>
      <c r="E47" s="60">
        <v>0</v>
      </c>
      <c r="F47" s="60">
        <v>0</v>
      </c>
      <c r="G47" s="60">
        <v>0</v>
      </c>
      <c r="H47" s="54"/>
      <c r="I47" s="54"/>
    </row>
    <row r="48" spans="1:9" hidden="1" x14ac:dyDescent="0.2">
      <c r="A48" s="56" t="s">
        <v>180</v>
      </c>
      <c r="B48" s="56" t="s">
        <v>103</v>
      </c>
      <c r="C48" s="60">
        <v>0.27999999999999997</v>
      </c>
      <c r="D48" s="60">
        <v>0.22500000000000001</v>
      </c>
      <c r="E48" s="60">
        <v>0.22500000000000001</v>
      </c>
      <c r="F48" s="60">
        <v>0.185</v>
      </c>
      <c r="G48" s="60">
        <v>0.19</v>
      </c>
      <c r="H48" s="54"/>
      <c r="I48" s="54"/>
    </row>
    <row r="49" spans="1:9" hidden="1" x14ac:dyDescent="0.2">
      <c r="A49" s="56" t="s">
        <v>181</v>
      </c>
      <c r="B49" s="56" t="s">
        <v>104</v>
      </c>
      <c r="C49" s="60">
        <v>0.27999999999999997</v>
      </c>
      <c r="D49" s="60">
        <v>0.22500000000000001</v>
      </c>
      <c r="E49" s="60">
        <v>0.22500000000000001</v>
      </c>
      <c r="F49" s="60">
        <v>0.185</v>
      </c>
      <c r="G49" s="60">
        <v>0.19</v>
      </c>
      <c r="H49" s="54"/>
      <c r="I49" s="54"/>
    </row>
    <row r="50" spans="1:9" hidden="1" x14ac:dyDescent="0.2">
      <c r="A50" s="56" t="s">
        <v>182</v>
      </c>
      <c r="B50" s="56" t="s">
        <v>104</v>
      </c>
      <c r="C50" s="60">
        <v>0.27999999999999997</v>
      </c>
      <c r="D50" s="60">
        <v>0.22500000000000001</v>
      </c>
      <c r="E50" s="60">
        <v>0.22500000000000001</v>
      </c>
      <c r="F50" s="60">
        <v>0.185</v>
      </c>
      <c r="G50" s="60">
        <v>0.19</v>
      </c>
      <c r="H50" s="54"/>
      <c r="I50" s="54"/>
    </row>
    <row r="51" spans="1:9" hidden="1" x14ac:dyDescent="0.2">
      <c r="A51" s="56" t="s">
        <v>183</v>
      </c>
      <c r="B51" s="56" t="s">
        <v>69</v>
      </c>
      <c r="C51" s="61">
        <v>0.3</v>
      </c>
      <c r="D51" s="60">
        <v>0.21</v>
      </c>
      <c r="E51" s="61">
        <v>0.25</v>
      </c>
      <c r="F51" s="60">
        <v>0.14499999999999999</v>
      </c>
      <c r="G51" s="60">
        <v>0.22500000000000001</v>
      </c>
      <c r="H51" s="54"/>
      <c r="I51" s="54"/>
    </row>
    <row r="52" spans="1:9" hidden="1" x14ac:dyDescent="0.2">
      <c r="A52" s="56" t="s">
        <v>184</v>
      </c>
      <c r="B52" s="56" t="s">
        <v>70</v>
      </c>
      <c r="C52" s="61">
        <v>0.3</v>
      </c>
      <c r="D52" s="60">
        <v>0.21</v>
      </c>
      <c r="E52" s="61">
        <v>0.25</v>
      </c>
      <c r="F52" s="60">
        <v>0.14499999999999999</v>
      </c>
      <c r="G52" s="60">
        <v>0.22500000000000001</v>
      </c>
      <c r="H52" s="54"/>
      <c r="I52" s="54"/>
    </row>
    <row r="53" spans="1:9" hidden="1" x14ac:dyDescent="0.2">
      <c r="A53" s="56" t="s">
        <v>185</v>
      </c>
      <c r="B53" s="56" t="s">
        <v>186</v>
      </c>
      <c r="C53" s="60">
        <v>0.27</v>
      </c>
      <c r="D53" s="60">
        <v>0.14499999999999999</v>
      </c>
      <c r="E53" s="60">
        <v>0.14499999999999999</v>
      </c>
      <c r="F53" s="60">
        <v>0.185</v>
      </c>
      <c r="G53" s="60">
        <v>0.19</v>
      </c>
      <c r="H53" s="54"/>
      <c r="I53" s="54"/>
    </row>
    <row r="54" spans="1:9" hidden="1" x14ac:dyDescent="0.2">
      <c r="A54" s="56" t="s">
        <v>187</v>
      </c>
      <c r="B54" s="56" t="s">
        <v>186</v>
      </c>
      <c r="C54" s="60">
        <v>0.27</v>
      </c>
      <c r="D54" s="60">
        <v>0.14499999999999999</v>
      </c>
      <c r="E54" s="60">
        <v>0.14499999999999999</v>
      </c>
      <c r="F54" s="60">
        <v>0.185</v>
      </c>
      <c r="G54" s="60">
        <v>0.19</v>
      </c>
      <c r="H54" s="54"/>
      <c r="I54" s="54"/>
    </row>
    <row r="55" spans="1:9" hidden="1" x14ac:dyDescent="0.2">
      <c r="A55" s="56" t="s">
        <v>188</v>
      </c>
      <c r="B55" s="56" t="s">
        <v>74</v>
      </c>
      <c r="C55" s="60">
        <v>0.23</v>
      </c>
      <c r="D55" s="60">
        <v>0.12</v>
      </c>
      <c r="E55" s="60">
        <v>0.12</v>
      </c>
      <c r="F55" s="60">
        <v>0.185</v>
      </c>
      <c r="G55" s="60">
        <v>0.19</v>
      </c>
      <c r="H55" s="54"/>
      <c r="I55" s="54"/>
    </row>
    <row r="56" spans="1:9" hidden="1" x14ac:dyDescent="0.2">
      <c r="A56" s="56" t="s">
        <v>189</v>
      </c>
      <c r="B56" s="56" t="s">
        <v>73</v>
      </c>
      <c r="C56" s="60">
        <v>0.15</v>
      </c>
      <c r="D56" s="60">
        <v>0.12</v>
      </c>
      <c r="E56" s="60">
        <v>0.12</v>
      </c>
      <c r="F56" s="60">
        <v>0.16500000000000001</v>
      </c>
      <c r="G56" s="60">
        <v>0.19</v>
      </c>
      <c r="H56" s="54"/>
      <c r="I56" s="54"/>
    </row>
    <row r="57" spans="1:9" hidden="1" x14ac:dyDescent="0.2">
      <c r="A57" s="56" t="s">
        <v>105</v>
      </c>
      <c r="B57" s="56" t="s">
        <v>105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54"/>
      <c r="I57" s="54"/>
    </row>
    <row r="58" spans="1:9" hidden="1" x14ac:dyDescent="0.2">
      <c r="A58" s="56" t="s">
        <v>190</v>
      </c>
      <c r="B58" s="56" t="s">
        <v>17</v>
      </c>
      <c r="C58" s="60">
        <v>0.22999999999999998</v>
      </c>
      <c r="D58" s="60">
        <v>0.19</v>
      </c>
      <c r="E58" s="60">
        <v>0.19</v>
      </c>
      <c r="F58" s="60">
        <v>0</v>
      </c>
      <c r="G58" s="60">
        <v>0.245</v>
      </c>
      <c r="H58" s="54"/>
      <c r="I58" s="54"/>
    </row>
    <row r="59" spans="1:9" hidden="1" x14ac:dyDescent="0.2">
      <c r="A59" s="56" t="s">
        <v>191</v>
      </c>
      <c r="B59" s="56" t="s">
        <v>18</v>
      </c>
      <c r="C59" s="60">
        <v>0.13999999999999999</v>
      </c>
      <c r="D59" s="60">
        <v>0.14499999999999999</v>
      </c>
      <c r="E59" s="60">
        <v>0.14000000000000001</v>
      </c>
      <c r="F59" s="60">
        <v>0.14499999999999999</v>
      </c>
      <c r="G59" s="60">
        <v>0.19</v>
      </c>
      <c r="H59" s="54"/>
      <c r="I59" s="54"/>
    </row>
    <row r="60" spans="1:9" hidden="1" x14ac:dyDescent="0.2">
      <c r="A60" s="56" t="s">
        <v>192</v>
      </c>
      <c r="B60" s="56" t="s">
        <v>18</v>
      </c>
      <c r="C60" s="60">
        <v>0.13999999999999999</v>
      </c>
      <c r="D60" s="60">
        <v>0.14499999999999999</v>
      </c>
      <c r="E60" s="60">
        <v>0.14000000000000001</v>
      </c>
      <c r="F60" s="60">
        <v>0.14499999999999999</v>
      </c>
      <c r="G60" s="60">
        <v>0.19</v>
      </c>
      <c r="H60" s="54"/>
      <c r="I60" s="54"/>
    </row>
    <row r="61" spans="1:9" hidden="1" x14ac:dyDescent="0.2">
      <c r="A61" s="56" t="s">
        <v>193</v>
      </c>
      <c r="B61" s="56" t="s">
        <v>19</v>
      </c>
      <c r="C61" s="60">
        <v>0.27999999999999997</v>
      </c>
      <c r="D61" s="60">
        <v>0.21</v>
      </c>
      <c r="E61" s="60">
        <v>0.27</v>
      </c>
      <c r="F61" s="60">
        <v>0.185</v>
      </c>
      <c r="G61" s="60">
        <v>0.22500000000000001</v>
      </c>
      <c r="H61" s="54"/>
      <c r="I61" s="54"/>
    </row>
    <row r="62" spans="1:9" hidden="1" x14ac:dyDescent="0.2">
      <c r="A62" s="56" t="s">
        <v>194</v>
      </c>
      <c r="B62" s="56" t="s">
        <v>20</v>
      </c>
      <c r="C62" s="60">
        <v>0.27999999999999997</v>
      </c>
      <c r="D62" s="60">
        <v>0.2</v>
      </c>
      <c r="E62" s="60">
        <v>0.25</v>
      </c>
      <c r="F62" s="60">
        <v>0.185</v>
      </c>
      <c r="G62" s="60">
        <v>0.20499999999999999</v>
      </c>
      <c r="H62" s="54"/>
      <c r="I62" s="54"/>
    </row>
    <row r="63" spans="1:9" hidden="1" x14ac:dyDescent="0.2">
      <c r="A63" s="56" t="s">
        <v>106</v>
      </c>
      <c r="B63" s="56" t="s">
        <v>106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4"/>
      <c r="I63" s="54"/>
    </row>
    <row r="64" spans="1:9" hidden="1" x14ac:dyDescent="0.2">
      <c r="A64" s="56" t="s">
        <v>195</v>
      </c>
      <c r="B64" s="56" t="s">
        <v>75</v>
      </c>
      <c r="C64" s="60">
        <v>0.3</v>
      </c>
      <c r="D64" s="60">
        <v>0.22500000000000001</v>
      </c>
      <c r="E64" s="61">
        <v>0.25</v>
      </c>
      <c r="F64" s="61">
        <v>0.185</v>
      </c>
      <c r="G64" s="61">
        <v>0.23</v>
      </c>
      <c r="H64" s="54"/>
      <c r="I64" s="54"/>
    </row>
    <row r="65" spans="1:9" hidden="1" x14ac:dyDescent="0.2">
      <c r="A65" s="56" t="s">
        <v>196</v>
      </c>
      <c r="B65" s="56" t="s">
        <v>75</v>
      </c>
      <c r="C65" s="60">
        <v>0.3</v>
      </c>
      <c r="D65" s="60">
        <v>0.22500000000000001</v>
      </c>
      <c r="E65" s="61">
        <v>0.25</v>
      </c>
      <c r="F65" s="61">
        <v>0.185</v>
      </c>
      <c r="G65" s="61">
        <v>0.23</v>
      </c>
      <c r="H65" s="54"/>
      <c r="I65" s="54"/>
    </row>
    <row r="66" spans="1:9" hidden="1" x14ac:dyDescent="0.2">
      <c r="A66" s="56" t="s">
        <v>197</v>
      </c>
      <c r="B66" s="56" t="s">
        <v>75</v>
      </c>
      <c r="C66" s="60">
        <v>0.3</v>
      </c>
      <c r="D66" s="60">
        <v>0.22500000000000001</v>
      </c>
      <c r="E66" s="61">
        <v>0.25</v>
      </c>
      <c r="F66" s="61">
        <v>0.185</v>
      </c>
      <c r="G66" s="61">
        <v>0.23</v>
      </c>
      <c r="H66" s="54"/>
      <c r="I66" s="54"/>
    </row>
    <row r="67" spans="1:9" hidden="1" x14ac:dyDescent="0.2">
      <c r="A67" s="56" t="s">
        <v>198</v>
      </c>
      <c r="B67" s="56" t="s">
        <v>76</v>
      </c>
      <c r="C67" s="61">
        <v>0.3</v>
      </c>
      <c r="D67" s="60">
        <v>0.215</v>
      </c>
      <c r="E67" s="61">
        <v>0.25</v>
      </c>
      <c r="F67" s="61">
        <v>0.185</v>
      </c>
      <c r="G67" s="61">
        <v>0.23</v>
      </c>
      <c r="H67" s="54"/>
      <c r="I67" s="54"/>
    </row>
    <row r="68" spans="1:9" hidden="1" x14ac:dyDescent="0.2">
      <c r="A68" s="56" t="s">
        <v>199</v>
      </c>
      <c r="B68" s="56" t="s">
        <v>78</v>
      </c>
      <c r="C68" s="60">
        <v>0.27999999999999997</v>
      </c>
      <c r="D68" s="60">
        <v>0.23499999999999999</v>
      </c>
      <c r="E68" s="60">
        <v>0.23499999999999999</v>
      </c>
      <c r="F68" s="60">
        <v>0.185</v>
      </c>
      <c r="G68" s="60">
        <v>0.19</v>
      </c>
      <c r="H68" s="54"/>
      <c r="I68" s="54"/>
    </row>
    <row r="69" spans="1:9" hidden="1" x14ac:dyDescent="0.2">
      <c r="A69" s="56" t="s">
        <v>200</v>
      </c>
      <c r="B69" s="56" t="s">
        <v>79</v>
      </c>
      <c r="C69" s="60">
        <v>0.27999999999999997</v>
      </c>
      <c r="D69" s="60">
        <v>0.24</v>
      </c>
      <c r="E69" s="60">
        <v>0.245</v>
      </c>
      <c r="F69" s="60">
        <v>0.185</v>
      </c>
      <c r="G69" s="60">
        <v>0.19</v>
      </c>
      <c r="H69" s="54"/>
      <c r="I69" s="54"/>
    </row>
    <row r="70" spans="1:9" hidden="1" x14ac:dyDescent="0.2">
      <c r="A70" s="56" t="s">
        <v>201</v>
      </c>
      <c r="B70" s="56" t="s">
        <v>107</v>
      </c>
      <c r="C70" s="60">
        <v>0.27999999999999997</v>
      </c>
      <c r="D70" s="60">
        <v>0.21</v>
      </c>
      <c r="E70" s="60">
        <v>0.26</v>
      </c>
      <c r="F70" s="60">
        <v>0.185</v>
      </c>
      <c r="G70" s="60">
        <v>0.19</v>
      </c>
      <c r="H70" s="54"/>
      <c r="I70" s="54"/>
    </row>
    <row r="71" spans="1:9" hidden="1" x14ac:dyDescent="0.2">
      <c r="A71" s="56" t="s">
        <v>202</v>
      </c>
      <c r="B71" s="56" t="s">
        <v>108</v>
      </c>
      <c r="C71" s="60">
        <v>0.27999999999999997</v>
      </c>
      <c r="D71" s="60">
        <v>0.21</v>
      </c>
      <c r="E71" s="60">
        <v>0.26</v>
      </c>
      <c r="F71" s="60">
        <v>0.185</v>
      </c>
      <c r="G71" s="60">
        <v>0.20499999999999999</v>
      </c>
      <c r="H71" s="54"/>
      <c r="I71" s="54"/>
    </row>
    <row r="72" spans="1:9" hidden="1" x14ac:dyDescent="0.2">
      <c r="A72" s="56" t="s">
        <v>203</v>
      </c>
      <c r="B72" s="56" t="s">
        <v>108</v>
      </c>
      <c r="C72" s="60">
        <v>0.27999999999999997</v>
      </c>
      <c r="D72" s="60">
        <v>0.21</v>
      </c>
      <c r="E72" s="60">
        <v>0.26</v>
      </c>
      <c r="F72" s="60">
        <v>0.185</v>
      </c>
      <c r="G72" s="60">
        <v>0.20499999999999999</v>
      </c>
      <c r="H72" s="54"/>
      <c r="I72" s="54"/>
    </row>
    <row r="73" spans="1:9" hidden="1" x14ac:dyDescent="0.2">
      <c r="A73" s="56" t="s">
        <v>204</v>
      </c>
      <c r="B73" s="56" t="s">
        <v>108</v>
      </c>
      <c r="C73" s="60">
        <v>0.27999999999999997</v>
      </c>
      <c r="D73" s="60">
        <v>0.21</v>
      </c>
      <c r="E73" s="60">
        <v>0.26</v>
      </c>
      <c r="F73" s="60">
        <v>0.185</v>
      </c>
      <c r="G73" s="60">
        <v>0.20499999999999999</v>
      </c>
      <c r="H73" s="54"/>
      <c r="I73" s="54"/>
    </row>
    <row r="74" spans="1:9" hidden="1" x14ac:dyDescent="0.2">
      <c r="A74" s="56" t="s">
        <v>205</v>
      </c>
      <c r="B74" s="56" t="s">
        <v>108</v>
      </c>
      <c r="C74" s="60">
        <v>0.27999999999999997</v>
      </c>
      <c r="D74" s="60">
        <v>0.21</v>
      </c>
      <c r="E74" s="60">
        <v>0.26</v>
      </c>
      <c r="F74" s="60">
        <v>0.185</v>
      </c>
      <c r="G74" s="60">
        <v>0.20499999999999999</v>
      </c>
      <c r="H74" s="54"/>
      <c r="I74" s="54"/>
    </row>
    <row r="75" spans="1:9" hidden="1" x14ac:dyDescent="0.2">
      <c r="A75" s="56" t="s">
        <v>108</v>
      </c>
      <c r="B75" s="56" t="s">
        <v>108</v>
      </c>
      <c r="C75" s="63">
        <v>0.27999999999999997</v>
      </c>
      <c r="D75" s="63">
        <v>0.21</v>
      </c>
      <c r="E75" s="63">
        <v>0.26</v>
      </c>
      <c r="F75" s="63">
        <v>0.185</v>
      </c>
      <c r="G75" s="63">
        <v>0.20499999999999999</v>
      </c>
      <c r="H75" s="54"/>
      <c r="I75" s="54"/>
    </row>
  </sheetData>
  <autoFilter ref="A2:I75" xr:uid="{9636F6B0-82BD-40DC-9A6A-76B4EF8B3CC7}">
    <filterColumn colId="0">
      <filters>
        <filter val="GOA"/>
        <filter val="MAHARASHTRA - 1 M"/>
        <filter val="MAHARASHTRA - 2 P"/>
        <filter val="MAHARASHTRA - 3 N"/>
        <filter val="MAHARASHTRA - 4 K"/>
        <filter val="MAHARASHTRA - 5 R"/>
        <filter val="MAHARASHTRA - 6 R"/>
      </filters>
    </filterColumn>
  </autoFilter>
  <mergeCells count="1">
    <mergeCell ref="C1:G1"/>
  </mergeCells>
  <conditionalFormatting sqref="A3:A7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85F3-3528-4D35-B3E2-DDF8E6C8BE52}">
  <dimension ref="A1:B73"/>
  <sheetViews>
    <sheetView workbookViewId="0">
      <selection activeCell="B1" sqref="B1"/>
    </sheetView>
  </sheetViews>
  <sheetFormatPr defaultRowHeight="15" x14ac:dyDescent="0.25"/>
  <cols>
    <col min="1" max="1" width="69.7109375" bestFit="1" customWidth="1"/>
    <col min="2" max="2" width="27.140625" bestFit="1" customWidth="1"/>
  </cols>
  <sheetData>
    <row r="1" spans="1:2" x14ac:dyDescent="0.25">
      <c r="A1" t="s">
        <v>144</v>
      </c>
      <c r="B1" t="s">
        <v>143</v>
      </c>
    </row>
    <row r="2" spans="1:2" x14ac:dyDescent="0.25">
      <c r="A2" t="s">
        <v>7</v>
      </c>
      <c r="B2" t="s">
        <v>145</v>
      </c>
    </row>
    <row r="3" spans="1:2" x14ac:dyDescent="0.25">
      <c r="A3" t="s">
        <v>10</v>
      </c>
      <c r="B3" t="s">
        <v>146</v>
      </c>
    </row>
    <row r="4" spans="1:2" x14ac:dyDescent="0.25">
      <c r="A4" t="s">
        <v>9</v>
      </c>
      <c r="B4" t="s">
        <v>147</v>
      </c>
    </row>
    <row r="5" spans="1:2" x14ac:dyDescent="0.25">
      <c r="A5" t="s">
        <v>93</v>
      </c>
      <c r="B5" t="s">
        <v>93</v>
      </c>
    </row>
    <row r="6" spans="1:2" x14ac:dyDescent="0.25">
      <c r="A6" t="s">
        <v>94</v>
      </c>
      <c r="B6" t="s">
        <v>148</v>
      </c>
    </row>
    <row r="7" spans="1:2" x14ac:dyDescent="0.25">
      <c r="A7" t="s">
        <v>96</v>
      </c>
      <c r="B7" t="s">
        <v>149</v>
      </c>
    </row>
    <row r="8" spans="1:2" x14ac:dyDescent="0.25">
      <c r="A8" t="s">
        <v>95</v>
      </c>
      <c r="B8" t="s">
        <v>150</v>
      </c>
    </row>
    <row r="9" spans="1:2" x14ac:dyDescent="0.25">
      <c r="A9" t="s">
        <v>97</v>
      </c>
      <c r="B9" t="s">
        <v>97</v>
      </c>
    </row>
    <row r="10" spans="1:2" x14ac:dyDescent="0.25">
      <c r="A10" t="s">
        <v>62</v>
      </c>
      <c r="B10" t="s">
        <v>62</v>
      </c>
    </row>
    <row r="11" spans="1:2" x14ac:dyDescent="0.25">
      <c r="A11" t="s">
        <v>109</v>
      </c>
      <c r="B11" t="s">
        <v>151</v>
      </c>
    </row>
    <row r="12" spans="1:2" x14ac:dyDescent="0.25">
      <c r="A12" t="s">
        <v>110</v>
      </c>
      <c r="B12" t="s">
        <v>152</v>
      </c>
    </row>
    <row r="13" spans="1:2" x14ac:dyDescent="0.25">
      <c r="A13" t="s">
        <v>63</v>
      </c>
      <c r="B13" t="s">
        <v>63</v>
      </c>
    </row>
    <row r="14" spans="1:2" x14ac:dyDescent="0.25">
      <c r="A14" t="s">
        <v>52</v>
      </c>
      <c r="B14" t="s">
        <v>52</v>
      </c>
    </row>
    <row r="15" spans="1:2" x14ac:dyDescent="0.25">
      <c r="A15" t="s">
        <v>113</v>
      </c>
      <c r="B15" t="s">
        <v>153</v>
      </c>
    </row>
    <row r="16" spans="1:2" x14ac:dyDescent="0.25">
      <c r="A16" t="s">
        <v>116</v>
      </c>
      <c r="B16" t="s">
        <v>154</v>
      </c>
    </row>
    <row r="17" spans="1:2" x14ac:dyDescent="0.25">
      <c r="A17" t="s">
        <v>114</v>
      </c>
      <c r="B17" t="s">
        <v>155</v>
      </c>
    </row>
    <row r="18" spans="1:2" x14ac:dyDescent="0.25">
      <c r="A18" t="s">
        <v>114</v>
      </c>
      <c r="B18" t="s">
        <v>156</v>
      </c>
    </row>
    <row r="19" spans="1:2" x14ac:dyDescent="0.25">
      <c r="A19" t="s">
        <v>115</v>
      </c>
      <c r="B19" t="s">
        <v>157</v>
      </c>
    </row>
    <row r="20" spans="1:2" x14ac:dyDescent="0.25">
      <c r="A20" t="s">
        <v>64</v>
      </c>
      <c r="B20" t="s">
        <v>158</v>
      </c>
    </row>
    <row r="21" spans="1:2" x14ac:dyDescent="0.25">
      <c r="A21" t="s">
        <v>65</v>
      </c>
      <c r="B21" t="s">
        <v>159</v>
      </c>
    </row>
    <row r="22" spans="1:2" x14ac:dyDescent="0.25">
      <c r="A22" t="s">
        <v>66</v>
      </c>
      <c r="B22" t="s">
        <v>160</v>
      </c>
    </row>
    <row r="23" spans="1:2" x14ac:dyDescent="0.25">
      <c r="A23" t="s">
        <v>67</v>
      </c>
      <c r="B23" t="s">
        <v>161</v>
      </c>
    </row>
    <row r="24" spans="1:2" x14ac:dyDescent="0.25">
      <c r="A24" t="s">
        <v>68</v>
      </c>
      <c r="B24" t="s">
        <v>162</v>
      </c>
    </row>
    <row r="25" spans="1:2" x14ac:dyDescent="0.25">
      <c r="A25" t="s">
        <v>98</v>
      </c>
      <c r="B25" t="s">
        <v>98</v>
      </c>
    </row>
    <row r="26" spans="1:2" x14ac:dyDescent="0.25">
      <c r="A26" t="s">
        <v>11</v>
      </c>
      <c r="B26" t="s">
        <v>163</v>
      </c>
    </row>
    <row r="27" spans="1:2" x14ac:dyDescent="0.25">
      <c r="A27" t="s">
        <v>13</v>
      </c>
      <c r="B27" t="s">
        <v>164</v>
      </c>
    </row>
    <row r="28" spans="1:2" x14ac:dyDescent="0.25">
      <c r="A28" t="s">
        <v>12</v>
      </c>
      <c r="B28" t="s">
        <v>165</v>
      </c>
    </row>
    <row r="29" spans="1:2" x14ac:dyDescent="0.25">
      <c r="A29" t="s">
        <v>13</v>
      </c>
      <c r="B29" t="s">
        <v>166</v>
      </c>
    </row>
    <row r="30" spans="1:2" x14ac:dyDescent="0.25">
      <c r="A30" t="s">
        <v>14</v>
      </c>
      <c r="B30" t="s">
        <v>167</v>
      </c>
    </row>
    <row r="31" spans="1:2" x14ac:dyDescent="0.25">
      <c r="A31" t="s">
        <v>15</v>
      </c>
      <c r="B31" t="s">
        <v>168</v>
      </c>
    </row>
    <row r="32" spans="1:2" x14ac:dyDescent="0.25">
      <c r="A32" t="s">
        <v>16</v>
      </c>
      <c r="B32" t="s">
        <v>169</v>
      </c>
    </row>
    <row r="33" spans="1:2" x14ac:dyDescent="0.25">
      <c r="A33" t="s">
        <v>16</v>
      </c>
      <c r="B33" t="s">
        <v>170</v>
      </c>
    </row>
    <row r="34" spans="1:2" x14ac:dyDescent="0.25">
      <c r="A34" t="s">
        <v>53</v>
      </c>
      <c r="B34" t="s">
        <v>171</v>
      </c>
    </row>
    <row r="35" spans="1:2" x14ac:dyDescent="0.25">
      <c r="A35" t="s">
        <v>55</v>
      </c>
      <c r="B35" t="s">
        <v>172</v>
      </c>
    </row>
    <row r="36" spans="1:2" x14ac:dyDescent="0.25">
      <c r="A36" t="s">
        <v>56</v>
      </c>
      <c r="B36" t="s">
        <v>173</v>
      </c>
    </row>
    <row r="37" spans="1:2" x14ac:dyDescent="0.25">
      <c r="A37" t="s">
        <v>57</v>
      </c>
      <c r="B37" t="s">
        <v>174</v>
      </c>
    </row>
    <row r="38" spans="1:2" x14ac:dyDescent="0.25">
      <c r="A38" t="s">
        <v>61</v>
      </c>
      <c r="B38" t="s">
        <v>175</v>
      </c>
    </row>
    <row r="39" spans="1:2" x14ac:dyDescent="0.25">
      <c r="A39" t="s">
        <v>59</v>
      </c>
      <c r="B39" t="s">
        <v>176</v>
      </c>
    </row>
    <row r="40" spans="1:2" x14ac:dyDescent="0.25">
      <c r="A40" t="s">
        <v>60</v>
      </c>
      <c r="B40" t="s">
        <v>177</v>
      </c>
    </row>
    <row r="41" spans="1:2" x14ac:dyDescent="0.25">
      <c r="A41" t="s">
        <v>60</v>
      </c>
      <c r="B41" t="s">
        <v>178</v>
      </c>
    </row>
    <row r="42" spans="1:2" x14ac:dyDescent="0.25">
      <c r="A42" t="s">
        <v>60</v>
      </c>
      <c r="B42" t="s">
        <v>179</v>
      </c>
    </row>
    <row r="43" spans="1:2" x14ac:dyDescent="0.25">
      <c r="A43" t="s">
        <v>99</v>
      </c>
      <c r="B43" t="s">
        <v>99</v>
      </c>
    </row>
    <row r="44" spans="1:2" x14ac:dyDescent="0.25">
      <c r="A44" t="s">
        <v>100</v>
      </c>
      <c r="B44" t="s">
        <v>100</v>
      </c>
    </row>
    <row r="45" spans="1:2" x14ac:dyDescent="0.25">
      <c r="A45" t="s">
        <v>101</v>
      </c>
      <c r="B45" t="s">
        <v>101</v>
      </c>
    </row>
    <row r="46" spans="1:2" x14ac:dyDescent="0.25">
      <c r="A46" t="s">
        <v>102</v>
      </c>
      <c r="B46" t="s">
        <v>102</v>
      </c>
    </row>
    <row r="47" spans="1:2" x14ac:dyDescent="0.25">
      <c r="A47" t="s">
        <v>103</v>
      </c>
      <c r="B47" t="s">
        <v>180</v>
      </c>
    </row>
    <row r="48" spans="1:2" x14ac:dyDescent="0.25">
      <c r="A48" t="s">
        <v>104</v>
      </c>
      <c r="B48" t="s">
        <v>181</v>
      </c>
    </row>
    <row r="49" spans="1:2" x14ac:dyDescent="0.25">
      <c r="A49" t="s">
        <v>104</v>
      </c>
      <c r="B49" t="s">
        <v>182</v>
      </c>
    </row>
    <row r="50" spans="1:2" x14ac:dyDescent="0.25">
      <c r="A50" t="s">
        <v>69</v>
      </c>
      <c r="B50" t="s">
        <v>183</v>
      </c>
    </row>
    <row r="51" spans="1:2" x14ac:dyDescent="0.25">
      <c r="A51" t="s">
        <v>70</v>
      </c>
      <c r="B51" t="s">
        <v>184</v>
      </c>
    </row>
    <row r="52" spans="1:2" x14ac:dyDescent="0.25">
      <c r="A52" t="s">
        <v>186</v>
      </c>
      <c r="B52" t="s">
        <v>185</v>
      </c>
    </row>
    <row r="53" spans="1:2" x14ac:dyDescent="0.25">
      <c r="A53" t="s">
        <v>186</v>
      </c>
      <c r="B53" t="s">
        <v>187</v>
      </c>
    </row>
    <row r="54" spans="1:2" x14ac:dyDescent="0.25">
      <c r="A54" t="s">
        <v>74</v>
      </c>
      <c r="B54" t="s">
        <v>188</v>
      </c>
    </row>
    <row r="55" spans="1:2" x14ac:dyDescent="0.25">
      <c r="A55" t="s">
        <v>73</v>
      </c>
      <c r="B55" t="s">
        <v>189</v>
      </c>
    </row>
    <row r="56" spans="1:2" x14ac:dyDescent="0.25">
      <c r="A56" t="s">
        <v>105</v>
      </c>
      <c r="B56" t="s">
        <v>105</v>
      </c>
    </row>
    <row r="57" spans="1:2" x14ac:dyDescent="0.25">
      <c r="A57" t="s">
        <v>17</v>
      </c>
      <c r="B57" t="s">
        <v>190</v>
      </c>
    </row>
    <row r="58" spans="1:2" x14ac:dyDescent="0.25">
      <c r="A58" t="s">
        <v>18</v>
      </c>
      <c r="B58" t="s">
        <v>191</v>
      </c>
    </row>
    <row r="59" spans="1:2" x14ac:dyDescent="0.25">
      <c r="A59" t="s">
        <v>18</v>
      </c>
      <c r="B59" t="s">
        <v>192</v>
      </c>
    </row>
    <row r="60" spans="1:2" x14ac:dyDescent="0.25">
      <c r="A60" t="s">
        <v>19</v>
      </c>
      <c r="B60" t="s">
        <v>193</v>
      </c>
    </row>
    <row r="61" spans="1:2" x14ac:dyDescent="0.25">
      <c r="A61" t="s">
        <v>20</v>
      </c>
      <c r="B61" t="s">
        <v>194</v>
      </c>
    </row>
    <row r="62" spans="1:2" x14ac:dyDescent="0.25">
      <c r="A62" t="s">
        <v>106</v>
      </c>
      <c r="B62" t="s">
        <v>106</v>
      </c>
    </row>
    <row r="63" spans="1:2" x14ac:dyDescent="0.25">
      <c r="A63" t="s">
        <v>75</v>
      </c>
      <c r="B63" t="s">
        <v>195</v>
      </c>
    </row>
    <row r="64" spans="1:2" x14ac:dyDescent="0.25">
      <c r="A64" t="s">
        <v>75</v>
      </c>
      <c r="B64" t="s">
        <v>196</v>
      </c>
    </row>
    <row r="65" spans="1:2" x14ac:dyDescent="0.25">
      <c r="A65" t="s">
        <v>75</v>
      </c>
      <c r="B65" t="s">
        <v>197</v>
      </c>
    </row>
    <row r="66" spans="1:2" x14ac:dyDescent="0.25">
      <c r="A66" t="s">
        <v>76</v>
      </c>
      <c r="B66" t="s">
        <v>198</v>
      </c>
    </row>
    <row r="67" spans="1:2" x14ac:dyDescent="0.25">
      <c r="A67" t="s">
        <v>78</v>
      </c>
      <c r="B67" t="s">
        <v>199</v>
      </c>
    </row>
    <row r="68" spans="1:2" x14ac:dyDescent="0.25">
      <c r="A68" t="s">
        <v>79</v>
      </c>
      <c r="B68" t="s">
        <v>200</v>
      </c>
    </row>
    <row r="69" spans="1:2" x14ac:dyDescent="0.25">
      <c r="A69" t="s">
        <v>107</v>
      </c>
      <c r="B69" t="s">
        <v>201</v>
      </c>
    </row>
    <row r="70" spans="1:2" x14ac:dyDescent="0.25">
      <c r="A70" t="s">
        <v>108</v>
      </c>
      <c r="B70" t="s">
        <v>202</v>
      </c>
    </row>
    <row r="71" spans="1:2" x14ac:dyDescent="0.25">
      <c r="A71" t="s">
        <v>108</v>
      </c>
      <c r="B71" t="s">
        <v>203</v>
      </c>
    </row>
    <row r="72" spans="1:2" x14ac:dyDescent="0.25">
      <c r="A72" t="s">
        <v>108</v>
      </c>
      <c r="B72" t="s">
        <v>204</v>
      </c>
    </row>
    <row r="73" spans="1:2" x14ac:dyDescent="0.25">
      <c r="A73" t="s">
        <v>108</v>
      </c>
      <c r="B73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1A2D-5FC3-4390-92E4-6219E048700E}">
  <dimension ref="A1:H67"/>
  <sheetViews>
    <sheetView workbookViewId="0">
      <selection activeCell="B1" sqref="B1:H1"/>
    </sheetView>
  </sheetViews>
  <sheetFormatPr defaultColWidth="9.140625" defaultRowHeight="11.25" x14ac:dyDescent="0.2"/>
  <cols>
    <col min="1" max="1" width="9.140625" style="9"/>
    <col min="2" max="2" width="52.5703125" style="9" bestFit="1" customWidth="1"/>
    <col min="3" max="3" width="12.140625" style="9" bestFit="1" customWidth="1"/>
    <col min="4" max="4" width="13.5703125" style="9" bestFit="1" customWidth="1"/>
    <col min="5" max="5" width="11.42578125" style="9" bestFit="1" customWidth="1"/>
    <col min="6" max="6" width="11.140625" style="9" bestFit="1" customWidth="1"/>
    <col min="7" max="7" width="12.42578125" style="9" bestFit="1" customWidth="1"/>
    <col min="8" max="8" width="12.28515625" style="9" bestFit="1" customWidth="1"/>
    <col min="9" max="16384" width="9.140625" style="9"/>
  </cols>
  <sheetData>
    <row r="1" spans="1:8" x14ac:dyDescent="0.2">
      <c r="B1" s="100" t="s">
        <v>137</v>
      </c>
      <c r="C1" s="100"/>
      <c r="D1" s="100"/>
      <c r="E1" s="100"/>
      <c r="F1" s="100"/>
      <c r="G1" s="100"/>
      <c r="H1" s="100"/>
    </row>
    <row r="2" spans="1:8" ht="33.75" x14ac:dyDescent="0.2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2" t="s">
        <v>6</v>
      </c>
    </row>
    <row r="3" spans="1:8" x14ac:dyDescent="0.2">
      <c r="A3" s="9" t="s">
        <v>145</v>
      </c>
      <c r="B3" s="36" t="s">
        <v>7</v>
      </c>
      <c r="C3" s="16" t="s">
        <v>8</v>
      </c>
      <c r="D3" s="37">
        <v>0.27999999999999997</v>
      </c>
      <c r="E3" s="37">
        <v>0.21</v>
      </c>
      <c r="F3" s="37">
        <v>0.25</v>
      </c>
      <c r="G3" s="37">
        <v>0.185</v>
      </c>
      <c r="H3" s="37">
        <v>0.20499999999999999</v>
      </c>
    </row>
    <row r="4" spans="1:8" x14ac:dyDescent="0.2">
      <c r="A4" s="9" t="s">
        <v>147</v>
      </c>
      <c r="B4" s="36" t="s">
        <v>9</v>
      </c>
      <c r="C4" s="16" t="s">
        <v>8</v>
      </c>
      <c r="D4" s="37">
        <v>0.27</v>
      </c>
      <c r="E4" s="37">
        <v>0.21</v>
      </c>
      <c r="F4" s="37">
        <v>0.25</v>
      </c>
      <c r="G4" s="37">
        <v>0.185</v>
      </c>
      <c r="H4" s="37">
        <v>0.19</v>
      </c>
    </row>
    <row r="5" spans="1:8" x14ac:dyDescent="0.2">
      <c r="A5" s="9" t="s">
        <v>146</v>
      </c>
      <c r="B5" s="36" t="s">
        <v>10</v>
      </c>
      <c r="C5" s="16" t="s">
        <v>8</v>
      </c>
      <c r="D5" s="37">
        <v>0.27</v>
      </c>
      <c r="E5" s="37">
        <v>0.23499999999999999</v>
      </c>
      <c r="F5" s="37">
        <v>0.23499999999999999</v>
      </c>
      <c r="G5" s="37">
        <v>0.185</v>
      </c>
      <c r="H5" s="37">
        <v>0.19</v>
      </c>
    </row>
    <row r="6" spans="1:8" x14ac:dyDescent="0.2">
      <c r="A6" s="9" t="s">
        <v>93</v>
      </c>
      <c r="B6" s="36" t="s">
        <v>93</v>
      </c>
      <c r="C6" s="16" t="s">
        <v>8</v>
      </c>
      <c r="D6" s="37">
        <v>0.215</v>
      </c>
      <c r="E6" s="37">
        <v>0.215</v>
      </c>
      <c r="F6" s="37">
        <v>0.215</v>
      </c>
      <c r="G6" s="37">
        <v>0.185</v>
      </c>
      <c r="H6" s="37">
        <v>0.19</v>
      </c>
    </row>
    <row r="7" spans="1:8" x14ac:dyDescent="0.2">
      <c r="A7" s="9" t="s">
        <v>148</v>
      </c>
      <c r="B7" s="36" t="s">
        <v>94</v>
      </c>
      <c r="C7" s="16" t="s">
        <v>8</v>
      </c>
      <c r="D7" s="37">
        <v>0.215</v>
      </c>
      <c r="E7" s="37">
        <v>0.19</v>
      </c>
      <c r="F7" s="37">
        <v>0.19</v>
      </c>
      <c r="G7" s="37">
        <v>0.185</v>
      </c>
      <c r="H7" s="37">
        <v>0.19</v>
      </c>
    </row>
    <row r="8" spans="1:8" x14ac:dyDescent="0.2">
      <c r="A8" s="9" t="s">
        <v>150</v>
      </c>
      <c r="B8" s="36" t="s">
        <v>95</v>
      </c>
      <c r="C8" s="16" t="s">
        <v>8</v>
      </c>
      <c r="D8" s="37">
        <v>0.215</v>
      </c>
      <c r="E8" s="37">
        <v>0.19</v>
      </c>
      <c r="F8" s="37">
        <v>0.19</v>
      </c>
      <c r="G8" s="37">
        <v>0.185</v>
      </c>
      <c r="H8" s="37">
        <v>0.19</v>
      </c>
    </row>
    <row r="9" spans="1:8" x14ac:dyDescent="0.2">
      <c r="A9" s="9" t="s">
        <v>149</v>
      </c>
      <c r="B9" s="36" t="s">
        <v>96</v>
      </c>
      <c r="C9" s="16" t="s">
        <v>8</v>
      </c>
      <c r="D9" s="37">
        <v>0.215</v>
      </c>
      <c r="E9" s="37">
        <v>0.19</v>
      </c>
      <c r="F9" s="37">
        <v>0.19</v>
      </c>
      <c r="G9" s="37">
        <v>0.185</v>
      </c>
      <c r="H9" s="37">
        <v>0.19</v>
      </c>
    </row>
    <row r="10" spans="1:8" x14ac:dyDescent="0.2">
      <c r="A10" s="9" t="s">
        <v>97</v>
      </c>
      <c r="B10" s="36" t="s">
        <v>97</v>
      </c>
      <c r="C10" s="16" t="s">
        <v>8</v>
      </c>
      <c r="D10" s="37">
        <v>0.27999999999999997</v>
      </c>
      <c r="E10" s="37">
        <v>0.21</v>
      </c>
      <c r="F10" s="37">
        <v>0.26</v>
      </c>
      <c r="G10" s="37">
        <v>0.185</v>
      </c>
      <c r="H10" s="37">
        <v>0.19</v>
      </c>
    </row>
    <row r="11" spans="1:8" x14ac:dyDescent="0.2">
      <c r="A11" s="9" t="s">
        <v>62</v>
      </c>
      <c r="B11" s="36" t="s">
        <v>62</v>
      </c>
      <c r="C11" s="16" t="s">
        <v>8</v>
      </c>
      <c r="D11" s="37">
        <v>0.29499999999999998</v>
      </c>
      <c r="E11" s="37">
        <v>0.24</v>
      </c>
      <c r="F11" s="37">
        <v>0.245</v>
      </c>
      <c r="G11" s="37">
        <v>0.185</v>
      </c>
      <c r="H11" s="37">
        <v>0.20499999999999999</v>
      </c>
    </row>
    <row r="12" spans="1:8" x14ac:dyDescent="0.2">
      <c r="A12" s="9" t="s">
        <v>151</v>
      </c>
      <c r="B12" s="36" t="s">
        <v>109</v>
      </c>
      <c r="C12" s="16" t="s">
        <v>8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</row>
    <row r="13" spans="1:8" x14ac:dyDescent="0.2">
      <c r="A13" s="9" t="s">
        <v>152</v>
      </c>
      <c r="B13" s="36" t="s">
        <v>110</v>
      </c>
      <c r="C13" s="16" t="s">
        <v>8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</row>
    <row r="14" spans="1:8" x14ac:dyDescent="0.2">
      <c r="A14" s="9" t="s">
        <v>63</v>
      </c>
      <c r="B14" s="36" t="s">
        <v>63</v>
      </c>
      <c r="C14" s="16" t="s">
        <v>8</v>
      </c>
      <c r="D14" s="37">
        <v>0.29499999999999998</v>
      </c>
      <c r="E14" s="37">
        <v>0.26</v>
      </c>
      <c r="F14" s="37">
        <v>0.28000000000000003</v>
      </c>
      <c r="G14" s="37">
        <v>0.185</v>
      </c>
      <c r="H14" s="37">
        <v>0.20499999999999999</v>
      </c>
    </row>
    <row r="15" spans="1:8" x14ac:dyDescent="0.2">
      <c r="A15" s="9" t="s">
        <v>52</v>
      </c>
      <c r="B15" s="36" t="s">
        <v>52</v>
      </c>
      <c r="C15" s="16" t="s">
        <v>8</v>
      </c>
      <c r="D15" s="37">
        <v>0.24</v>
      </c>
      <c r="E15" s="37">
        <v>0.21</v>
      </c>
      <c r="F15" s="37">
        <v>0.24</v>
      </c>
      <c r="G15" s="37">
        <v>0.185</v>
      </c>
      <c r="H15" s="37">
        <v>0.19</v>
      </c>
    </row>
    <row r="16" spans="1:8" x14ac:dyDescent="0.2">
      <c r="A16" s="9" t="s">
        <v>153</v>
      </c>
      <c r="B16" s="36" t="s">
        <v>113</v>
      </c>
      <c r="C16" s="16" t="s">
        <v>8</v>
      </c>
      <c r="D16" s="37">
        <v>0.28000000000000003</v>
      </c>
      <c r="E16" s="37">
        <v>0.22500000000000001</v>
      </c>
      <c r="F16" s="37">
        <v>0.28000000000000003</v>
      </c>
      <c r="G16" s="37">
        <v>0.185</v>
      </c>
      <c r="H16" s="37">
        <v>0.21</v>
      </c>
    </row>
    <row r="17" spans="1:8" x14ac:dyDescent="0.2">
      <c r="A17" s="9" t="s">
        <v>155</v>
      </c>
      <c r="B17" s="36" t="s">
        <v>114</v>
      </c>
      <c r="C17" s="16" t="s">
        <v>8</v>
      </c>
      <c r="D17" s="37">
        <v>0.23</v>
      </c>
      <c r="E17" s="37">
        <v>0.14499999999999999</v>
      </c>
      <c r="F17" s="37">
        <v>0.14499999999999999</v>
      </c>
      <c r="G17" s="37">
        <v>0.14499999999999999</v>
      </c>
      <c r="H17" s="37">
        <v>0.19</v>
      </c>
    </row>
    <row r="18" spans="1:8" x14ac:dyDescent="0.2">
      <c r="A18" s="9" t="s">
        <v>157</v>
      </c>
      <c r="B18" s="36" t="s">
        <v>115</v>
      </c>
      <c r="C18" s="16" t="s">
        <v>8</v>
      </c>
      <c r="D18" s="37">
        <v>0.23</v>
      </c>
      <c r="E18" s="37">
        <v>0.14499999999999999</v>
      </c>
      <c r="F18" s="37">
        <v>0.15</v>
      </c>
      <c r="G18" s="37">
        <v>0.14499999999999999</v>
      </c>
      <c r="H18" s="37">
        <v>0.17499999999999999</v>
      </c>
    </row>
    <row r="19" spans="1:8" x14ac:dyDescent="0.2">
      <c r="A19" s="9" t="s">
        <v>154</v>
      </c>
      <c r="B19" s="36" t="s">
        <v>116</v>
      </c>
      <c r="C19" s="16" t="s">
        <v>8</v>
      </c>
      <c r="D19" s="37">
        <v>0.28000000000000003</v>
      </c>
      <c r="E19" s="37">
        <v>0.23499999999999999</v>
      </c>
      <c r="F19" s="37">
        <v>0.28000000000000003</v>
      </c>
      <c r="G19" s="37">
        <v>0.185</v>
      </c>
      <c r="H19" s="37">
        <v>0.19</v>
      </c>
    </row>
    <row r="20" spans="1:8" x14ac:dyDescent="0.2">
      <c r="A20" s="9" t="s">
        <v>158</v>
      </c>
      <c r="B20" s="36" t="s">
        <v>64</v>
      </c>
      <c r="C20" s="16" t="s">
        <v>8</v>
      </c>
      <c r="D20" s="37">
        <v>0.13999999999999999</v>
      </c>
      <c r="E20" s="37">
        <v>0.14499999999999999</v>
      </c>
      <c r="F20" s="37">
        <v>0.14000000000000001</v>
      </c>
      <c r="G20" s="37">
        <v>0.14499999999999999</v>
      </c>
      <c r="H20" s="37">
        <v>0.14499999999999999</v>
      </c>
    </row>
    <row r="21" spans="1:8" x14ac:dyDescent="0.2">
      <c r="A21" s="9" t="s">
        <v>159</v>
      </c>
      <c r="B21" s="36" t="s">
        <v>65</v>
      </c>
      <c r="C21" s="16" t="s">
        <v>8</v>
      </c>
      <c r="D21" s="37">
        <v>0.27999999999999997</v>
      </c>
      <c r="E21" s="37">
        <v>0.23499999999999999</v>
      </c>
      <c r="F21" s="37">
        <v>0.23499999999999999</v>
      </c>
      <c r="G21" s="37">
        <v>0.185</v>
      </c>
      <c r="H21" s="37">
        <v>0.19</v>
      </c>
    </row>
    <row r="22" spans="1:8" x14ac:dyDescent="0.2">
      <c r="A22" s="9" t="s">
        <v>160</v>
      </c>
      <c r="B22" s="36" t="s">
        <v>66</v>
      </c>
      <c r="C22" s="16" t="s">
        <v>8</v>
      </c>
      <c r="D22" s="37">
        <v>0.27999999999999997</v>
      </c>
      <c r="E22" s="37">
        <v>0.24</v>
      </c>
      <c r="F22" s="37">
        <v>0.245</v>
      </c>
      <c r="G22" s="37">
        <v>0.185</v>
      </c>
      <c r="H22" s="37">
        <v>0.19</v>
      </c>
    </row>
    <row r="23" spans="1:8" x14ac:dyDescent="0.2">
      <c r="A23" s="9" t="s">
        <v>161</v>
      </c>
      <c r="B23" s="36" t="s">
        <v>67</v>
      </c>
      <c r="C23" s="16" t="s">
        <v>8</v>
      </c>
      <c r="D23" s="37">
        <v>0.29499999999999998</v>
      </c>
      <c r="E23" s="37">
        <v>0.24</v>
      </c>
      <c r="F23" s="37">
        <v>0.255</v>
      </c>
      <c r="G23" s="37">
        <v>0.14499999999999999</v>
      </c>
      <c r="H23" s="37">
        <v>0.20499999999999999</v>
      </c>
    </row>
    <row r="24" spans="1:8" x14ac:dyDescent="0.2">
      <c r="A24" s="9" t="s">
        <v>162</v>
      </c>
      <c r="B24" s="36" t="s">
        <v>68</v>
      </c>
      <c r="C24" s="16" t="s">
        <v>8</v>
      </c>
      <c r="D24" s="37">
        <v>0.27</v>
      </c>
      <c r="E24" s="37">
        <v>0.24</v>
      </c>
      <c r="F24" s="37">
        <v>0.255</v>
      </c>
      <c r="G24" s="37">
        <v>0.185</v>
      </c>
      <c r="H24" s="37">
        <v>0.20499999999999999</v>
      </c>
    </row>
    <row r="25" spans="1:8" x14ac:dyDescent="0.2">
      <c r="A25" s="9" t="s">
        <v>98</v>
      </c>
      <c r="B25" s="36" t="s">
        <v>98</v>
      </c>
      <c r="C25" s="16" t="s">
        <v>8</v>
      </c>
      <c r="D25" s="37">
        <v>0.27999999999999997</v>
      </c>
      <c r="E25" s="37">
        <v>0.21</v>
      </c>
      <c r="F25" s="37">
        <v>0.26</v>
      </c>
      <c r="G25" s="37">
        <v>0.185</v>
      </c>
      <c r="H25" s="37">
        <v>0.19</v>
      </c>
    </row>
    <row r="26" spans="1:8" x14ac:dyDescent="0.2">
      <c r="A26" s="9" t="s">
        <v>163</v>
      </c>
      <c r="B26" s="36" t="s">
        <v>11</v>
      </c>
      <c r="C26" s="16" t="s">
        <v>8</v>
      </c>
      <c r="D26" s="37">
        <v>0.27999999999999997</v>
      </c>
      <c r="E26" s="37">
        <v>0.21</v>
      </c>
      <c r="F26" s="37">
        <v>0.27</v>
      </c>
      <c r="G26" s="37">
        <v>0.185</v>
      </c>
      <c r="H26" s="37">
        <v>0.22500000000000001</v>
      </c>
    </row>
    <row r="27" spans="1:8" x14ac:dyDescent="0.2">
      <c r="A27" s="9" t="s">
        <v>165</v>
      </c>
      <c r="B27" s="36" t="s">
        <v>12</v>
      </c>
      <c r="C27" s="16" t="s">
        <v>8</v>
      </c>
      <c r="D27" s="37">
        <v>0.27</v>
      </c>
      <c r="E27" s="37">
        <v>0.2</v>
      </c>
      <c r="F27" s="37">
        <v>0.22500000000000001</v>
      </c>
      <c r="G27" s="37">
        <v>0.14499999999999999</v>
      </c>
      <c r="H27" s="37">
        <v>0.20499999999999999</v>
      </c>
    </row>
    <row r="28" spans="1:8" x14ac:dyDescent="0.2">
      <c r="A28" s="9" t="s">
        <v>164</v>
      </c>
      <c r="B28" s="36" t="s">
        <v>13</v>
      </c>
      <c r="C28" s="16" t="s">
        <v>8</v>
      </c>
      <c r="D28" s="37">
        <v>0.27</v>
      </c>
      <c r="E28" s="37">
        <v>0.22500000000000001</v>
      </c>
      <c r="F28" s="37">
        <v>0.22500000000000001</v>
      </c>
      <c r="G28" s="37">
        <v>0.14499999999999999</v>
      </c>
      <c r="H28" s="37">
        <v>0.20499999999999999</v>
      </c>
    </row>
    <row r="29" spans="1:8" x14ac:dyDescent="0.2">
      <c r="A29" s="9" t="s">
        <v>167</v>
      </c>
      <c r="B29" s="36" t="s">
        <v>14</v>
      </c>
      <c r="C29" s="16" t="s">
        <v>8</v>
      </c>
      <c r="D29" s="37">
        <v>0.16499999999999998</v>
      </c>
      <c r="E29" s="37">
        <v>0.16999999999999998</v>
      </c>
      <c r="F29" s="37">
        <v>0.16499999999999998</v>
      </c>
      <c r="G29" s="37">
        <v>0.185</v>
      </c>
      <c r="H29" s="37">
        <v>0.19</v>
      </c>
    </row>
    <row r="30" spans="1:8" x14ac:dyDescent="0.2">
      <c r="A30" s="9" t="s">
        <v>168</v>
      </c>
      <c r="B30" s="36" t="s">
        <v>15</v>
      </c>
      <c r="C30" s="16" t="s">
        <v>8</v>
      </c>
      <c r="D30" s="37">
        <v>0.13999999999999999</v>
      </c>
      <c r="E30" s="37">
        <v>0.14499999999999999</v>
      </c>
      <c r="F30" s="37">
        <v>0.14000000000000001</v>
      </c>
      <c r="G30" s="37">
        <v>0.11499999999999999</v>
      </c>
      <c r="H30" s="37">
        <v>0.11499999999999999</v>
      </c>
    </row>
    <row r="31" spans="1:8" x14ac:dyDescent="0.2">
      <c r="A31" s="9" t="s">
        <v>169</v>
      </c>
      <c r="B31" s="36" t="s">
        <v>16</v>
      </c>
      <c r="C31" s="16" t="s">
        <v>8</v>
      </c>
      <c r="D31" s="37">
        <v>0.13999999999999999</v>
      </c>
      <c r="E31" s="37">
        <v>0.14499999999999999</v>
      </c>
      <c r="F31" s="37">
        <v>0.14000000000000001</v>
      </c>
      <c r="G31" s="37">
        <v>0.11499999999999999</v>
      </c>
      <c r="H31" s="37">
        <v>0.11499999999999999</v>
      </c>
    </row>
    <row r="32" spans="1:8" x14ac:dyDescent="0.2">
      <c r="A32" s="9" t="s">
        <v>171</v>
      </c>
      <c r="B32" s="36" t="s">
        <v>53</v>
      </c>
      <c r="C32" s="16" t="s">
        <v>8</v>
      </c>
      <c r="D32" s="37">
        <v>0.16499999999999998</v>
      </c>
      <c r="E32" s="37">
        <v>0</v>
      </c>
      <c r="F32" s="37">
        <v>0.11499999999999999</v>
      </c>
      <c r="G32" s="37">
        <v>0.11499999999999999</v>
      </c>
      <c r="H32" s="37">
        <v>0.13999999999999999</v>
      </c>
    </row>
    <row r="33" spans="1:8" x14ac:dyDescent="0.2">
      <c r="A33" s="9" t="s">
        <v>172</v>
      </c>
      <c r="B33" s="36" t="s">
        <v>55</v>
      </c>
      <c r="C33" s="16" t="s">
        <v>8</v>
      </c>
      <c r="D33" s="37">
        <v>0.13999999999999999</v>
      </c>
      <c r="E33" s="37">
        <v>0</v>
      </c>
      <c r="F33" s="37">
        <v>0.11499999999999999</v>
      </c>
      <c r="G33" s="37">
        <v>9.5000000000000001E-2</v>
      </c>
      <c r="H33" s="37">
        <v>0.14499999999999999</v>
      </c>
    </row>
    <row r="34" spans="1:8" x14ac:dyDescent="0.2">
      <c r="A34" s="9" t="s">
        <v>173</v>
      </c>
      <c r="B34" s="36" t="s">
        <v>56</v>
      </c>
      <c r="C34" s="16" t="s">
        <v>8</v>
      </c>
      <c r="D34" s="37">
        <v>0.13999999999999999</v>
      </c>
      <c r="E34" s="37">
        <v>0</v>
      </c>
      <c r="F34" s="37">
        <v>0.11499999999999999</v>
      </c>
      <c r="G34" s="37">
        <v>9.5000000000000001E-2</v>
      </c>
      <c r="H34" s="37">
        <v>0.14499999999999999</v>
      </c>
    </row>
    <row r="35" spans="1:8" x14ac:dyDescent="0.2">
      <c r="A35" s="9" t="s">
        <v>174</v>
      </c>
      <c r="B35" s="36" t="s">
        <v>57</v>
      </c>
      <c r="C35" s="16" t="s">
        <v>8</v>
      </c>
      <c r="D35" s="37">
        <v>0.29499999999999998</v>
      </c>
      <c r="E35" s="37">
        <v>0.26</v>
      </c>
      <c r="F35" s="37">
        <v>0.28000000000000003</v>
      </c>
      <c r="G35" s="37">
        <v>0.185</v>
      </c>
      <c r="H35" s="37">
        <v>0.22500000000000001</v>
      </c>
    </row>
    <row r="36" spans="1:8" x14ac:dyDescent="0.2">
      <c r="A36" s="9" t="s">
        <v>176</v>
      </c>
      <c r="B36" s="36" t="s">
        <v>59</v>
      </c>
      <c r="C36" s="16" t="s">
        <v>8</v>
      </c>
      <c r="D36" s="37">
        <v>0.29499999999999998</v>
      </c>
      <c r="E36" s="37">
        <v>0.215</v>
      </c>
      <c r="F36" s="37">
        <v>0.215</v>
      </c>
      <c r="G36" s="37">
        <v>0.185</v>
      </c>
      <c r="H36" s="37">
        <v>0.19</v>
      </c>
    </row>
    <row r="37" spans="1:8" x14ac:dyDescent="0.2">
      <c r="A37" s="9" t="s">
        <v>175</v>
      </c>
      <c r="B37" s="36" t="s">
        <v>61</v>
      </c>
      <c r="C37" s="16" t="s">
        <v>8</v>
      </c>
      <c r="D37" s="37">
        <v>0.29499999999999998</v>
      </c>
      <c r="E37" s="37">
        <v>0.26</v>
      </c>
      <c r="F37" s="37">
        <v>0.28000000000000003</v>
      </c>
      <c r="G37" s="37">
        <v>0.185</v>
      </c>
      <c r="H37" s="37">
        <v>0.22500000000000001</v>
      </c>
    </row>
    <row r="38" spans="1:8" x14ac:dyDescent="0.2">
      <c r="A38" s="9" t="s">
        <v>177</v>
      </c>
      <c r="B38" s="36" t="s">
        <v>60</v>
      </c>
      <c r="C38" s="16" t="s">
        <v>8</v>
      </c>
      <c r="D38" s="37">
        <v>0.29499999999999998</v>
      </c>
      <c r="E38" s="37">
        <v>0.215</v>
      </c>
      <c r="F38" s="37">
        <v>0.215</v>
      </c>
      <c r="G38" s="37">
        <v>0.185</v>
      </c>
      <c r="H38" s="37">
        <v>0.19</v>
      </c>
    </row>
    <row r="39" spans="1:8" x14ac:dyDescent="0.2">
      <c r="A39" s="9" t="s">
        <v>99</v>
      </c>
      <c r="B39" s="36" t="s">
        <v>99</v>
      </c>
      <c r="C39" s="16" t="s">
        <v>8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</row>
    <row r="40" spans="1:8" x14ac:dyDescent="0.2">
      <c r="A40" s="9" t="s">
        <v>100</v>
      </c>
      <c r="B40" s="36" t="s">
        <v>100</v>
      </c>
      <c r="C40" s="16" t="s">
        <v>8</v>
      </c>
      <c r="D40" s="37">
        <v>0.24</v>
      </c>
      <c r="E40" s="37">
        <v>0.22500000000000001</v>
      </c>
      <c r="F40" s="37">
        <v>0.22500000000000001</v>
      </c>
      <c r="G40" s="37">
        <v>0.185</v>
      </c>
      <c r="H40" s="37">
        <v>0.19</v>
      </c>
    </row>
    <row r="41" spans="1:8" x14ac:dyDescent="0.2">
      <c r="A41" s="9" t="s">
        <v>101</v>
      </c>
      <c r="B41" s="36" t="s">
        <v>101</v>
      </c>
      <c r="C41" s="16" t="s">
        <v>8</v>
      </c>
      <c r="D41" s="37">
        <v>0.24</v>
      </c>
      <c r="E41" s="37">
        <v>0.22500000000000001</v>
      </c>
      <c r="F41" s="37">
        <v>0.22500000000000001</v>
      </c>
      <c r="G41" s="37">
        <v>0.185</v>
      </c>
      <c r="H41" s="37">
        <v>0.19</v>
      </c>
    </row>
    <row r="42" spans="1:8" x14ac:dyDescent="0.2">
      <c r="A42" s="9" t="s">
        <v>102</v>
      </c>
      <c r="B42" s="36" t="s">
        <v>102</v>
      </c>
      <c r="C42" s="16" t="s">
        <v>8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</row>
    <row r="43" spans="1:8" x14ac:dyDescent="0.2">
      <c r="A43" s="9" t="s">
        <v>180</v>
      </c>
      <c r="B43" s="36" t="s">
        <v>103</v>
      </c>
      <c r="C43" s="16" t="s">
        <v>8</v>
      </c>
      <c r="D43" s="37">
        <v>0.27999999999999997</v>
      </c>
      <c r="E43" s="37">
        <v>0.22500000000000001</v>
      </c>
      <c r="F43" s="37">
        <v>0.22500000000000001</v>
      </c>
      <c r="G43" s="37">
        <v>0.185</v>
      </c>
      <c r="H43" s="37">
        <v>0.19</v>
      </c>
    </row>
    <row r="44" spans="1:8" x14ac:dyDescent="0.2">
      <c r="A44" s="9" t="s">
        <v>181</v>
      </c>
      <c r="B44" s="36" t="s">
        <v>104</v>
      </c>
      <c r="C44" s="16" t="s">
        <v>8</v>
      </c>
      <c r="D44" s="37">
        <v>0.27999999999999997</v>
      </c>
      <c r="E44" s="37">
        <v>0.22500000000000001</v>
      </c>
      <c r="F44" s="37">
        <v>0.22500000000000001</v>
      </c>
      <c r="G44" s="37">
        <v>0.185</v>
      </c>
      <c r="H44" s="37">
        <v>0.19</v>
      </c>
    </row>
    <row r="45" spans="1:8" x14ac:dyDescent="0.2">
      <c r="A45" s="9" t="s">
        <v>183</v>
      </c>
      <c r="B45" s="36" t="s">
        <v>69</v>
      </c>
      <c r="C45" s="16" t="s">
        <v>8</v>
      </c>
      <c r="D45" s="37">
        <v>0.27</v>
      </c>
      <c r="E45" s="37">
        <v>0.21</v>
      </c>
      <c r="F45" s="37">
        <v>0.25</v>
      </c>
      <c r="G45" s="37">
        <v>0.14499999999999999</v>
      </c>
      <c r="H45" s="37">
        <v>0.22500000000000001</v>
      </c>
    </row>
    <row r="46" spans="1:8" x14ac:dyDescent="0.2">
      <c r="A46" s="9" t="s">
        <v>184</v>
      </c>
      <c r="B46" s="36" t="s">
        <v>70</v>
      </c>
      <c r="C46" s="16" t="s">
        <v>8</v>
      </c>
      <c r="D46" s="37">
        <v>0.27</v>
      </c>
      <c r="E46" s="37">
        <v>0.21</v>
      </c>
      <c r="F46" s="37">
        <v>0.25</v>
      </c>
      <c r="G46" s="37">
        <v>0.14499999999999999</v>
      </c>
      <c r="H46" s="37">
        <v>0.22500000000000001</v>
      </c>
    </row>
    <row r="47" spans="1:8" x14ac:dyDescent="0.2">
      <c r="A47" s="9" t="s">
        <v>185</v>
      </c>
      <c r="B47" s="36" t="s">
        <v>71</v>
      </c>
      <c r="C47" s="16" t="s">
        <v>8</v>
      </c>
      <c r="D47" s="37">
        <v>0.27</v>
      </c>
      <c r="E47" s="37">
        <v>0.14499999999999999</v>
      </c>
      <c r="F47" s="37">
        <v>0.14499999999999999</v>
      </c>
      <c r="G47" s="37">
        <v>0.185</v>
      </c>
      <c r="H47" s="37">
        <v>0.19</v>
      </c>
    </row>
    <row r="48" spans="1:8" x14ac:dyDescent="0.2">
      <c r="A48" s="9" t="s">
        <v>206</v>
      </c>
      <c r="B48" s="36" t="s">
        <v>72</v>
      </c>
      <c r="C48" s="16" t="s">
        <v>8</v>
      </c>
      <c r="D48" s="37">
        <v>0.185</v>
      </c>
      <c r="E48" s="37">
        <v>0.12</v>
      </c>
      <c r="F48" s="37">
        <v>0.12</v>
      </c>
      <c r="G48" s="37">
        <v>0.16500000000000001</v>
      </c>
      <c r="H48" s="37">
        <v>0.19</v>
      </c>
    </row>
    <row r="49" spans="1:8" x14ac:dyDescent="0.2">
      <c r="A49" s="9" t="s">
        <v>189</v>
      </c>
      <c r="B49" s="36" t="s">
        <v>73</v>
      </c>
      <c r="C49" s="16" t="s">
        <v>8</v>
      </c>
      <c r="D49" s="37">
        <v>0.15</v>
      </c>
      <c r="E49" s="37">
        <v>0.12</v>
      </c>
      <c r="F49" s="37">
        <v>0.12</v>
      </c>
      <c r="G49" s="37">
        <v>0.16500000000000001</v>
      </c>
      <c r="H49" s="37">
        <v>0.19</v>
      </c>
    </row>
    <row r="50" spans="1:8" x14ac:dyDescent="0.2">
      <c r="A50" s="9" t="s">
        <v>188</v>
      </c>
      <c r="B50" s="36" t="s">
        <v>74</v>
      </c>
      <c r="C50" s="16" t="s">
        <v>8</v>
      </c>
      <c r="D50" s="37">
        <v>0.23</v>
      </c>
      <c r="E50" s="37">
        <v>0.12</v>
      </c>
      <c r="F50" s="37">
        <v>0.12</v>
      </c>
      <c r="G50" s="37">
        <v>0.185</v>
      </c>
      <c r="H50" s="37">
        <v>0.19</v>
      </c>
    </row>
    <row r="51" spans="1:8" x14ac:dyDescent="0.2">
      <c r="A51" s="9" t="e">
        <v>#N/A</v>
      </c>
      <c r="B51" s="36" t="s">
        <v>131</v>
      </c>
      <c r="C51" s="16" t="s">
        <v>8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</row>
    <row r="52" spans="1:8" x14ac:dyDescent="0.2">
      <c r="A52" s="9" t="s">
        <v>105</v>
      </c>
      <c r="B52" s="36" t="s">
        <v>105</v>
      </c>
      <c r="C52" s="16" t="s">
        <v>8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</row>
    <row r="53" spans="1:8" x14ac:dyDescent="0.2">
      <c r="A53" s="9" t="s">
        <v>190</v>
      </c>
      <c r="B53" s="36" t="s">
        <v>17</v>
      </c>
      <c r="C53" s="16" t="s">
        <v>8</v>
      </c>
      <c r="D53" s="37">
        <v>0.22999999999999998</v>
      </c>
      <c r="E53" s="37">
        <v>0.19</v>
      </c>
      <c r="F53" s="37">
        <v>0.19</v>
      </c>
      <c r="G53" s="37">
        <v>0</v>
      </c>
      <c r="H53" s="37">
        <v>0.245</v>
      </c>
    </row>
    <row r="54" spans="1:8" x14ac:dyDescent="0.2">
      <c r="A54" s="9" t="s">
        <v>191</v>
      </c>
      <c r="B54" s="36" t="s">
        <v>18</v>
      </c>
      <c r="C54" s="16" t="s">
        <v>8</v>
      </c>
      <c r="D54" s="37">
        <v>0.13999999999999999</v>
      </c>
      <c r="E54" s="37">
        <v>0.14499999999999999</v>
      </c>
      <c r="F54" s="37">
        <v>0.14000000000000001</v>
      </c>
      <c r="G54" s="37">
        <v>0.14499999999999999</v>
      </c>
      <c r="H54" s="37">
        <v>0.19</v>
      </c>
    </row>
    <row r="55" spans="1:8" x14ac:dyDescent="0.2">
      <c r="A55" s="9" t="s">
        <v>193</v>
      </c>
      <c r="B55" s="36" t="s">
        <v>19</v>
      </c>
      <c r="C55" s="16" t="s">
        <v>8</v>
      </c>
      <c r="D55" s="37">
        <v>0.27999999999999997</v>
      </c>
      <c r="E55" s="37">
        <v>0.21</v>
      </c>
      <c r="F55" s="37">
        <v>0.27</v>
      </c>
      <c r="G55" s="37">
        <v>0.185</v>
      </c>
      <c r="H55" s="37">
        <v>0.22500000000000001</v>
      </c>
    </row>
    <row r="56" spans="1:8" x14ac:dyDescent="0.2">
      <c r="A56" s="9" t="s">
        <v>194</v>
      </c>
      <c r="B56" s="36" t="s">
        <v>20</v>
      </c>
      <c r="C56" s="16" t="s">
        <v>8</v>
      </c>
      <c r="D56" s="37">
        <v>0.27999999999999997</v>
      </c>
      <c r="E56" s="37">
        <v>0.2</v>
      </c>
      <c r="F56" s="37">
        <v>0.25</v>
      </c>
      <c r="G56" s="37">
        <v>0.185</v>
      </c>
      <c r="H56" s="37">
        <v>0.20499999999999999</v>
      </c>
    </row>
    <row r="57" spans="1:8" x14ac:dyDescent="0.2">
      <c r="A57" s="9" t="s">
        <v>106</v>
      </c>
      <c r="B57" s="36" t="s">
        <v>106</v>
      </c>
      <c r="C57" s="16" t="s">
        <v>8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</row>
    <row r="58" spans="1:8" x14ac:dyDescent="0.2">
      <c r="A58" s="9" t="s">
        <v>195</v>
      </c>
      <c r="B58" s="36" t="s">
        <v>75</v>
      </c>
      <c r="C58" s="16" t="s">
        <v>8</v>
      </c>
      <c r="D58" s="37">
        <v>0.27999999999999997</v>
      </c>
      <c r="E58" s="37">
        <v>0.22500000000000001</v>
      </c>
      <c r="F58" s="37">
        <v>0.22500000000000001</v>
      </c>
      <c r="G58" s="37">
        <v>0.185</v>
      </c>
      <c r="H58" s="37">
        <v>0.20499999999999999</v>
      </c>
    </row>
    <row r="59" spans="1:8" x14ac:dyDescent="0.2">
      <c r="A59" s="9" t="s">
        <v>198</v>
      </c>
      <c r="B59" s="36" t="s">
        <v>76</v>
      </c>
      <c r="C59" s="16" t="s">
        <v>8</v>
      </c>
      <c r="D59" s="37">
        <v>0.215</v>
      </c>
      <c r="E59" s="37">
        <v>0.215</v>
      </c>
      <c r="F59" s="37">
        <v>0.215</v>
      </c>
      <c r="G59" s="37">
        <v>0.185</v>
      </c>
      <c r="H59" s="37">
        <v>0.19</v>
      </c>
    </row>
    <row r="60" spans="1:8" x14ac:dyDescent="0.2">
      <c r="A60" s="9" t="e">
        <v>#N/A</v>
      </c>
      <c r="B60" s="36" t="s">
        <v>77</v>
      </c>
      <c r="C60" s="16" t="s">
        <v>8</v>
      </c>
      <c r="D60" s="37">
        <v>0.215</v>
      </c>
      <c r="E60" s="37">
        <v>0.215</v>
      </c>
      <c r="F60" s="37">
        <v>0.215</v>
      </c>
      <c r="G60" s="37">
        <v>0.185</v>
      </c>
      <c r="H60" s="37">
        <v>0.19</v>
      </c>
    </row>
    <row r="61" spans="1:8" x14ac:dyDescent="0.2">
      <c r="A61" s="9" t="s">
        <v>199</v>
      </c>
      <c r="B61" s="36" t="s">
        <v>78</v>
      </c>
      <c r="C61" s="16" t="s">
        <v>8</v>
      </c>
      <c r="D61" s="37">
        <v>0.27999999999999997</v>
      </c>
      <c r="E61" s="37">
        <v>0.23499999999999999</v>
      </c>
      <c r="F61" s="37">
        <v>0.23499999999999999</v>
      </c>
      <c r="G61" s="37">
        <v>0.185</v>
      </c>
      <c r="H61" s="37">
        <v>0.19</v>
      </c>
    </row>
    <row r="62" spans="1:8" x14ac:dyDescent="0.2">
      <c r="A62" s="9" t="s">
        <v>200</v>
      </c>
      <c r="B62" s="36" t="s">
        <v>79</v>
      </c>
      <c r="C62" s="16" t="s">
        <v>8</v>
      </c>
      <c r="D62" s="37">
        <v>0.27999999999999997</v>
      </c>
      <c r="E62" s="37">
        <v>0.24</v>
      </c>
      <c r="F62" s="37">
        <v>0.245</v>
      </c>
      <c r="G62" s="37">
        <v>0.185</v>
      </c>
      <c r="H62" s="37">
        <v>0.19</v>
      </c>
    </row>
    <row r="63" spans="1:8" x14ac:dyDescent="0.2">
      <c r="A63" s="9" t="s">
        <v>201</v>
      </c>
      <c r="B63" s="36" t="s">
        <v>107</v>
      </c>
      <c r="C63" s="16" t="s">
        <v>8</v>
      </c>
      <c r="D63" s="37">
        <v>0.27999999999999997</v>
      </c>
      <c r="E63" s="37">
        <v>0.21</v>
      </c>
      <c r="F63" s="37">
        <v>0.26</v>
      </c>
      <c r="G63" s="37">
        <v>0.185</v>
      </c>
      <c r="H63" s="37">
        <v>0.19</v>
      </c>
    </row>
    <row r="64" spans="1:8" x14ac:dyDescent="0.2">
      <c r="A64" s="9" t="s">
        <v>202</v>
      </c>
      <c r="B64" s="36" t="s">
        <v>108</v>
      </c>
      <c r="C64" s="16" t="s">
        <v>8</v>
      </c>
      <c r="D64" s="37">
        <v>0.27999999999999997</v>
      </c>
      <c r="E64" s="37">
        <v>0.21</v>
      </c>
      <c r="F64" s="37">
        <v>0.26</v>
      </c>
      <c r="G64" s="37">
        <v>0.185</v>
      </c>
      <c r="H64" s="37">
        <v>0.20499999999999999</v>
      </c>
    </row>
    <row r="66" spans="1:8" x14ac:dyDescent="0.2">
      <c r="A66" s="9" t="s">
        <v>187</v>
      </c>
      <c r="B66" s="36" t="s">
        <v>207</v>
      </c>
      <c r="C66" s="16" t="s">
        <v>8</v>
      </c>
      <c r="D66" s="37"/>
      <c r="E66" s="37"/>
      <c r="F66" s="37"/>
      <c r="G66" s="37"/>
      <c r="H66" s="37"/>
    </row>
    <row r="67" spans="1:8" x14ac:dyDescent="0.2">
      <c r="A67" s="9" t="s">
        <v>189</v>
      </c>
      <c r="B67" s="36" t="s">
        <v>208</v>
      </c>
      <c r="C67" s="16" t="s">
        <v>8</v>
      </c>
      <c r="D67" s="37"/>
      <c r="E67" s="37"/>
      <c r="F67" s="37"/>
      <c r="G67" s="37"/>
      <c r="H67" s="37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46C6-AAA3-4BA7-983C-BEE41725DADD}">
  <dimension ref="A1:G6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9.140625" defaultRowHeight="11.25" x14ac:dyDescent="0.2"/>
  <cols>
    <col min="1" max="1" width="52.42578125" style="8" bestFit="1" customWidth="1"/>
    <col min="2" max="2" width="9" style="8" customWidth="1"/>
    <col min="3" max="3" width="9" style="8" bestFit="1" customWidth="1"/>
    <col min="4" max="4" width="6.85546875" style="8" bestFit="1" customWidth="1"/>
    <col min="5" max="5" width="6.5703125" style="8" bestFit="1" customWidth="1"/>
    <col min="6" max="6" width="7.140625" style="8" bestFit="1" customWidth="1"/>
    <col min="7" max="7" width="6" style="8" bestFit="1" customWidth="1"/>
    <col min="8" max="16384" width="9.140625" style="8"/>
  </cols>
  <sheetData>
    <row r="1" spans="1:7" ht="20.25" customHeight="1" x14ac:dyDescent="0.2">
      <c r="A1" s="100" t="s">
        <v>117</v>
      </c>
      <c r="B1" s="100"/>
      <c r="C1" s="100"/>
      <c r="D1" s="100"/>
      <c r="E1" s="100"/>
      <c r="F1" s="100"/>
      <c r="G1" s="100"/>
    </row>
    <row r="2" spans="1:7" ht="45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2" t="s">
        <v>6</v>
      </c>
    </row>
    <row r="3" spans="1:7" x14ac:dyDescent="0.2">
      <c r="A3" s="15" t="s">
        <v>7</v>
      </c>
      <c r="B3" s="16" t="s">
        <v>8</v>
      </c>
      <c r="C3" s="12">
        <v>0.27999999999999997</v>
      </c>
      <c r="D3" s="12">
        <v>0.21</v>
      </c>
      <c r="E3" s="12">
        <v>0.25</v>
      </c>
      <c r="F3" s="12">
        <v>0.185</v>
      </c>
      <c r="G3" s="12">
        <v>0.20499999999999999</v>
      </c>
    </row>
    <row r="4" spans="1:7" x14ac:dyDescent="0.2">
      <c r="A4" s="15" t="s">
        <v>9</v>
      </c>
      <c r="B4" s="16" t="s">
        <v>8</v>
      </c>
      <c r="C4" s="12">
        <v>0.27</v>
      </c>
      <c r="D4" s="12">
        <v>0.21</v>
      </c>
      <c r="E4" s="12">
        <v>0.25</v>
      </c>
      <c r="F4" s="12">
        <v>0.185</v>
      </c>
      <c r="G4" s="12">
        <v>0.19</v>
      </c>
    </row>
    <row r="5" spans="1:7" x14ac:dyDescent="0.2">
      <c r="A5" s="15" t="s">
        <v>10</v>
      </c>
      <c r="B5" s="16" t="s">
        <v>8</v>
      </c>
      <c r="C5" s="12">
        <v>0.27</v>
      </c>
      <c r="D5" s="12">
        <v>0.23499999999999999</v>
      </c>
      <c r="E5" s="12">
        <v>0.23499999999999999</v>
      </c>
      <c r="F5" s="12">
        <v>0.185</v>
      </c>
      <c r="G5" s="12">
        <v>0.19</v>
      </c>
    </row>
    <row r="6" spans="1:7" x14ac:dyDescent="0.2">
      <c r="A6" s="15" t="s">
        <v>11</v>
      </c>
      <c r="B6" s="16" t="s">
        <v>8</v>
      </c>
      <c r="C6" s="12">
        <v>0.27999999999999997</v>
      </c>
      <c r="D6" s="12">
        <v>0.21</v>
      </c>
      <c r="E6" s="20">
        <v>0.27</v>
      </c>
      <c r="F6" s="12">
        <v>0.185</v>
      </c>
      <c r="G6" s="12">
        <v>0.22500000000000001</v>
      </c>
    </row>
    <row r="7" spans="1:7" x14ac:dyDescent="0.2">
      <c r="A7" s="15" t="s">
        <v>12</v>
      </c>
      <c r="B7" s="16" t="s">
        <v>8</v>
      </c>
      <c r="C7" s="12">
        <v>0.27</v>
      </c>
      <c r="D7" s="20">
        <v>0.2</v>
      </c>
      <c r="E7" s="12">
        <v>0.22500000000000001</v>
      </c>
      <c r="F7" s="12">
        <v>0.14499999999999999</v>
      </c>
      <c r="G7" s="12">
        <v>0.20499999999999999</v>
      </c>
    </row>
    <row r="8" spans="1:7" x14ac:dyDescent="0.2">
      <c r="A8" s="15" t="s">
        <v>13</v>
      </c>
      <c r="B8" s="16" t="s">
        <v>8</v>
      </c>
      <c r="C8" s="12">
        <v>0.27</v>
      </c>
      <c r="D8" s="12">
        <v>0.22500000000000001</v>
      </c>
      <c r="E8" s="12">
        <v>0.22500000000000001</v>
      </c>
      <c r="F8" s="12">
        <v>0.14499999999999999</v>
      </c>
      <c r="G8" s="12">
        <v>0.20499999999999999</v>
      </c>
    </row>
    <row r="9" spans="1:7" x14ac:dyDescent="0.2">
      <c r="A9" s="15" t="s">
        <v>14</v>
      </c>
      <c r="B9" s="16" t="s">
        <v>8</v>
      </c>
      <c r="C9" s="12">
        <v>0.16499999999999998</v>
      </c>
      <c r="D9" s="12">
        <v>0.16999999999999998</v>
      </c>
      <c r="E9" s="12">
        <v>0.16499999999999998</v>
      </c>
      <c r="F9" s="12">
        <v>0.185</v>
      </c>
      <c r="G9" s="12">
        <v>0.19</v>
      </c>
    </row>
    <row r="10" spans="1:7" x14ac:dyDescent="0.2">
      <c r="A10" s="15" t="s">
        <v>15</v>
      </c>
      <c r="B10" s="16" t="s">
        <v>8</v>
      </c>
      <c r="C10" s="12">
        <v>0.13999999999999999</v>
      </c>
      <c r="D10" s="12">
        <v>0.14499999999999999</v>
      </c>
      <c r="E10" s="12">
        <v>0.14000000000000001</v>
      </c>
      <c r="F10" s="12">
        <v>0.11499999999999999</v>
      </c>
      <c r="G10" s="12">
        <v>0.11499999999999999</v>
      </c>
    </row>
    <row r="11" spans="1:7" x14ac:dyDescent="0.2">
      <c r="A11" s="15" t="s">
        <v>16</v>
      </c>
      <c r="B11" s="16" t="s">
        <v>8</v>
      </c>
      <c r="C11" s="12">
        <v>0.13999999999999999</v>
      </c>
      <c r="D11" s="12">
        <v>0.14499999999999999</v>
      </c>
      <c r="E11" s="12">
        <v>0.14000000000000001</v>
      </c>
      <c r="F11" s="12">
        <v>0.11499999999999999</v>
      </c>
      <c r="G11" s="12">
        <v>0.11499999999999999</v>
      </c>
    </row>
    <row r="12" spans="1:7" x14ac:dyDescent="0.2">
      <c r="A12" s="15" t="s">
        <v>17</v>
      </c>
      <c r="B12" s="16" t="s">
        <v>8</v>
      </c>
      <c r="C12" s="12">
        <v>0.22999999999999998</v>
      </c>
      <c r="D12" s="12">
        <v>0.19</v>
      </c>
      <c r="E12" s="12">
        <v>0.19</v>
      </c>
      <c r="F12" s="12">
        <v>0</v>
      </c>
      <c r="G12" s="12">
        <v>0.245</v>
      </c>
    </row>
    <row r="13" spans="1:7" x14ac:dyDescent="0.2">
      <c r="A13" s="15" t="s">
        <v>18</v>
      </c>
      <c r="B13" s="16" t="s">
        <v>8</v>
      </c>
      <c r="C13" s="12">
        <v>0.13999999999999999</v>
      </c>
      <c r="D13" s="12">
        <v>0.14499999999999999</v>
      </c>
      <c r="E13" s="12">
        <v>0.14000000000000001</v>
      </c>
      <c r="F13" s="12">
        <v>0.14499999999999999</v>
      </c>
      <c r="G13" s="12">
        <v>0.19</v>
      </c>
    </row>
    <row r="14" spans="1:7" x14ac:dyDescent="0.2">
      <c r="A14" s="15" t="s">
        <v>19</v>
      </c>
      <c r="B14" s="16" t="s">
        <v>8</v>
      </c>
      <c r="C14" s="12">
        <v>0.27999999999999997</v>
      </c>
      <c r="D14" s="12">
        <v>0.21</v>
      </c>
      <c r="E14" s="20">
        <v>0.27</v>
      </c>
      <c r="F14" s="12">
        <v>0.185</v>
      </c>
      <c r="G14" s="12">
        <v>0.22500000000000001</v>
      </c>
    </row>
    <row r="15" spans="1:7" x14ac:dyDescent="0.2">
      <c r="A15" s="15" t="s">
        <v>20</v>
      </c>
      <c r="B15" s="16" t="s">
        <v>8</v>
      </c>
      <c r="C15" s="12">
        <v>0.27999999999999997</v>
      </c>
      <c r="D15" s="20">
        <v>0.2</v>
      </c>
      <c r="E15" s="12">
        <v>0.25</v>
      </c>
      <c r="F15" s="12">
        <v>0.185</v>
      </c>
      <c r="G15" s="12">
        <v>0.20499999999999999</v>
      </c>
    </row>
    <row r="16" spans="1:7" x14ac:dyDescent="0.2">
      <c r="A16" s="15" t="s">
        <v>60</v>
      </c>
      <c r="B16" s="16" t="s">
        <v>8</v>
      </c>
      <c r="C16" s="20">
        <v>0.29499999999999998</v>
      </c>
      <c r="D16" s="12">
        <v>0.215</v>
      </c>
      <c r="E16" s="12">
        <v>0.215</v>
      </c>
      <c r="F16" s="12">
        <v>0.185</v>
      </c>
      <c r="G16" s="12">
        <v>0.19</v>
      </c>
    </row>
    <row r="17" spans="1:7" x14ac:dyDescent="0.2">
      <c r="A17" s="15" t="s">
        <v>61</v>
      </c>
      <c r="B17" s="16" t="s">
        <v>8</v>
      </c>
      <c r="C17" s="20">
        <v>0.29499999999999998</v>
      </c>
      <c r="D17" s="12">
        <v>0.26</v>
      </c>
      <c r="E17" s="12">
        <v>0.28000000000000003</v>
      </c>
      <c r="F17" s="12">
        <v>0.185</v>
      </c>
      <c r="G17" s="12">
        <v>0.22500000000000001</v>
      </c>
    </row>
    <row r="18" spans="1:7" x14ac:dyDescent="0.2">
      <c r="A18" s="15" t="s">
        <v>59</v>
      </c>
      <c r="B18" s="16" t="s">
        <v>8</v>
      </c>
      <c r="C18" s="20">
        <v>0.29499999999999998</v>
      </c>
      <c r="D18" s="12">
        <v>0.215</v>
      </c>
      <c r="E18" s="12">
        <v>0.215</v>
      </c>
      <c r="F18" s="12">
        <v>0.185</v>
      </c>
      <c r="G18" s="12">
        <v>0.19</v>
      </c>
    </row>
    <row r="19" spans="1:7" x14ac:dyDescent="0.2">
      <c r="A19" s="15" t="s">
        <v>57</v>
      </c>
      <c r="B19" s="16" t="s">
        <v>8</v>
      </c>
      <c r="C19" s="20">
        <v>0.29499999999999998</v>
      </c>
      <c r="D19" s="12">
        <v>0.26</v>
      </c>
      <c r="E19" s="12">
        <v>0.28000000000000003</v>
      </c>
      <c r="F19" s="12">
        <v>0.185</v>
      </c>
      <c r="G19" s="12">
        <v>0.22500000000000001</v>
      </c>
    </row>
    <row r="20" spans="1:7" x14ac:dyDescent="0.2">
      <c r="A20" s="15" t="s">
        <v>56</v>
      </c>
      <c r="B20" s="16" t="s">
        <v>8</v>
      </c>
      <c r="C20" s="12">
        <v>0.13999999999999999</v>
      </c>
      <c r="D20" s="12">
        <v>0</v>
      </c>
      <c r="E20" s="12">
        <v>0.11499999999999999</v>
      </c>
      <c r="F20" s="12">
        <v>9.5000000000000001E-2</v>
      </c>
      <c r="G20" s="12">
        <v>0.14499999999999999</v>
      </c>
    </row>
    <row r="21" spans="1:7" x14ac:dyDescent="0.2">
      <c r="A21" s="15" t="s">
        <v>55</v>
      </c>
      <c r="B21" s="16" t="s">
        <v>8</v>
      </c>
      <c r="C21" s="12">
        <v>0.13999999999999999</v>
      </c>
      <c r="D21" s="12">
        <v>0</v>
      </c>
      <c r="E21" s="12">
        <v>0.11499999999999999</v>
      </c>
      <c r="F21" s="12">
        <v>9.5000000000000001E-2</v>
      </c>
      <c r="G21" s="12">
        <v>0.14499999999999999</v>
      </c>
    </row>
    <row r="22" spans="1:7" x14ac:dyDescent="0.2">
      <c r="A22" s="15" t="s">
        <v>53</v>
      </c>
      <c r="B22" s="16" t="s">
        <v>8</v>
      </c>
      <c r="C22" s="12">
        <v>0.16499999999999998</v>
      </c>
      <c r="D22" s="12">
        <v>0</v>
      </c>
      <c r="E22" s="12">
        <v>0.11499999999999999</v>
      </c>
      <c r="F22" s="12">
        <v>0.11499999999999999</v>
      </c>
      <c r="G22" s="12">
        <v>0.13999999999999999</v>
      </c>
    </row>
    <row r="23" spans="1:7" x14ac:dyDescent="0.2">
      <c r="A23" s="15" t="s">
        <v>52</v>
      </c>
      <c r="B23" s="16" t="s">
        <v>8</v>
      </c>
      <c r="C23" s="12">
        <v>0.24</v>
      </c>
      <c r="D23" s="12">
        <v>0.21</v>
      </c>
      <c r="E23" s="12">
        <v>0.24</v>
      </c>
      <c r="F23" s="12">
        <v>0.185</v>
      </c>
      <c r="G23" s="12">
        <v>0.19</v>
      </c>
    </row>
    <row r="24" spans="1:7" x14ac:dyDescent="0.2">
      <c r="A24" s="15" t="s">
        <v>62</v>
      </c>
      <c r="B24" s="16" t="s">
        <v>8</v>
      </c>
      <c r="C24" s="22">
        <v>0.29499999999999998</v>
      </c>
      <c r="D24" s="12">
        <v>0.24</v>
      </c>
      <c r="E24" s="12">
        <v>0.245</v>
      </c>
      <c r="F24" s="12">
        <v>0.185</v>
      </c>
      <c r="G24" s="12">
        <v>0.20499999999999999</v>
      </c>
    </row>
    <row r="25" spans="1:7" x14ac:dyDescent="0.2">
      <c r="A25" s="15" t="s">
        <v>63</v>
      </c>
      <c r="B25" s="16" t="s">
        <v>8</v>
      </c>
      <c r="C25" s="22">
        <v>0.29499999999999998</v>
      </c>
      <c r="D25" s="12">
        <v>0.26</v>
      </c>
      <c r="E25" s="12">
        <v>0.28000000000000003</v>
      </c>
      <c r="F25" s="12">
        <v>0.185</v>
      </c>
      <c r="G25" s="12">
        <v>0.20499999999999999</v>
      </c>
    </row>
    <row r="26" spans="1:7" x14ac:dyDescent="0.2">
      <c r="A26" s="15" t="s">
        <v>64</v>
      </c>
      <c r="B26" s="16" t="s">
        <v>8</v>
      </c>
      <c r="C26" s="12">
        <v>0.13999999999999999</v>
      </c>
      <c r="D26" s="12">
        <v>0.14499999999999999</v>
      </c>
      <c r="E26" s="12">
        <v>0.14000000000000001</v>
      </c>
      <c r="F26" s="12">
        <v>0.14499999999999999</v>
      </c>
      <c r="G26" s="12">
        <v>0.14499999999999999</v>
      </c>
    </row>
    <row r="27" spans="1:7" x14ac:dyDescent="0.2">
      <c r="A27" s="15" t="s">
        <v>65</v>
      </c>
      <c r="B27" s="16" t="s">
        <v>8</v>
      </c>
      <c r="C27" s="12">
        <v>0.27999999999999997</v>
      </c>
      <c r="D27" s="12">
        <v>0.23499999999999999</v>
      </c>
      <c r="E27" s="12">
        <v>0.23499999999999999</v>
      </c>
      <c r="F27" s="12">
        <v>0.185</v>
      </c>
      <c r="G27" s="12">
        <v>0.19</v>
      </c>
    </row>
    <row r="28" spans="1:7" x14ac:dyDescent="0.2">
      <c r="A28" s="15" t="s">
        <v>66</v>
      </c>
      <c r="B28" s="16" t="s">
        <v>8</v>
      </c>
      <c r="C28" s="12">
        <v>0.27999999999999997</v>
      </c>
      <c r="D28" s="12">
        <v>0.24</v>
      </c>
      <c r="E28" s="12">
        <v>0.245</v>
      </c>
      <c r="F28" s="12">
        <v>0.185</v>
      </c>
      <c r="G28" s="12">
        <v>0.19</v>
      </c>
    </row>
    <row r="29" spans="1:7" x14ac:dyDescent="0.2">
      <c r="A29" s="15" t="s">
        <v>67</v>
      </c>
      <c r="B29" s="16" t="s">
        <v>8</v>
      </c>
      <c r="C29" s="21">
        <v>0.29499999999999998</v>
      </c>
      <c r="D29" s="12">
        <v>0.24</v>
      </c>
      <c r="E29" s="12">
        <v>0.255</v>
      </c>
      <c r="F29" s="12">
        <v>0.14499999999999999</v>
      </c>
      <c r="G29" s="12">
        <v>0.20499999999999999</v>
      </c>
    </row>
    <row r="30" spans="1:7" x14ac:dyDescent="0.2">
      <c r="A30" s="15" t="s">
        <v>68</v>
      </c>
      <c r="B30" s="16" t="s">
        <v>8</v>
      </c>
      <c r="C30" s="12">
        <v>0.27</v>
      </c>
      <c r="D30" s="12">
        <v>0.24</v>
      </c>
      <c r="E30" s="12">
        <v>0.255</v>
      </c>
      <c r="F30" s="12">
        <v>0.185</v>
      </c>
      <c r="G30" s="12">
        <v>0.20499999999999999</v>
      </c>
    </row>
    <row r="31" spans="1:7" x14ac:dyDescent="0.2">
      <c r="A31" s="15" t="s">
        <v>69</v>
      </c>
      <c r="B31" s="16" t="s">
        <v>8</v>
      </c>
      <c r="C31" s="12">
        <v>0.27</v>
      </c>
      <c r="D31" s="12">
        <v>0.21</v>
      </c>
      <c r="E31" s="12">
        <v>0.25</v>
      </c>
      <c r="F31" s="12">
        <v>0.14499999999999999</v>
      </c>
      <c r="G31" s="12">
        <v>0.22500000000000001</v>
      </c>
    </row>
    <row r="32" spans="1:7" x14ac:dyDescent="0.2">
      <c r="A32" s="15" t="s">
        <v>70</v>
      </c>
      <c r="B32" s="16" t="s">
        <v>8</v>
      </c>
      <c r="C32" s="12">
        <v>0.27</v>
      </c>
      <c r="D32" s="12">
        <v>0.21</v>
      </c>
      <c r="E32" s="12">
        <v>0.25</v>
      </c>
      <c r="F32" s="12">
        <v>0.14499999999999999</v>
      </c>
      <c r="G32" s="12">
        <v>0.22500000000000001</v>
      </c>
    </row>
    <row r="33" spans="1:7" x14ac:dyDescent="0.2">
      <c r="A33" s="15" t="s">
        <v>71</v>
      </c>
      <c r="B33" s="16" t="s">
        <v>8</v>
      </c>
      <c r="C33" s="12">
        <v>0.27</v>
      </c>
      <c r="D33" s="12">
        <v>0.14499999999999999</v>
      </c>
      <c r="E33" s="12">
        <v>0.14499999999999999</v>
      </c>
      <c r="F33" s="12">
        <v>0.185</v>
      </c>
      <c r="G33" s="12">
        <v>0.19</v>
      </c>
    </row>
    <row r="34" spans="1:7" x14ac:dyDescent="0.2">
      <c r="A34" s="15" t="s">
        <v>72</v>
      </c>
      <c r="B34" s="16" t="s">
        <v>8</v>
      </c>
      <c r="C34" s="12">
        <v>0.185</v>
      </c>
      <c r="D34" s="12">
        <v>0.12</v>
      </c>
      <c r="E34" s="12">
        <v>0.12</v>
      </c>
      <c r="F34" s="12">
        <v>0.16500000000000001</v>
      </c>
      <c r="G34" s="12">
        <v>0.19</v>
      </c>
    </row>
    <row r="35" spans="1:7" x14ac:dyDescent="0.2">
      <c r="A35" s="15" t="s">
        <v>73</v>
      </c>
      <c r="B35" s="16" t="s">
        <v>8</v>
      </c>
      <c r="C35" s="12">
        <v>0.15</v>
      </c>
      <c r="D35" s="12">
        <v>0.12</v>
      </c>
      <c r="E35" s="12">
        <v>0.12</v>
      </c>
      <c r="F35" s="12">
        <v>0.16500000000000001</v>
      </c>
      <c r="G35" s="12">
        <v>0.19</v>
      </c>
    </row>
    <row r="36" spans="1:7" x14ac:dyDescent="0.2">
      <c r="A36" s="15" t="s">
        <v>74</v>
      </c>
      <c r="B36" s="16" t="s">
        <v>8</v>
      </c>
      <c r="C36" s="12">
        <v>0.23</v>
      </c>
      <c r="D36" s="12">
        <v>0.12</v>
      </c>
      <c r="E36" s="12">
        <v>0.12</v>
      </c>
      <c r="F36" s="12">
        <v>0.185</v>
      </c>
      <c r="G36" s="12">
        <v>0.19</v>
      </c>
    </row>
    <row r="37" spans="1:7" x14ac:dyDescent="0.2">
      <c r="A37" s="15" t="s">
        <v>75</v>
      </c>
      <c r="B37" s="16" t="s">
        <v>8</v>
      </c>
      <c r="C37" s="12">
        <v>0.27999999999999997</v>
      </c>
      <c r="D37" s="12">
        <v>0.22500000000000001</v>
      </c>
      <c r="E37" s="12">
        <v>0.22500000000000001</v>
      </c>
      <c r="F37" s="12">
        <v>0.185</v>
      </c>
      <c r="G37" s="12">
        <v>0.20499999999999999</v>
      </c>
    </row>
    <row r="38" spans="1:7" x14ac:dyDescent="0.2">
      <c r="A38" s="15" t="s">
        <v>76</v>
      </c>
      <c r="B38" s="16" t="s">
        <v>8</v>
      </c>
      <c r="C38" s="12">
        <v>0.215</v>
      </c>
      <c r="D38" s="12">
        <v>0.215</v>
      </c>
      <c r="E38" s="12">
        <v>0.215</v>
      </c>
      <c r="F38" s="12">
        <v>0.185</v>
      </c>
      <c r="G38" s="12">
        <v>0.19</v>
      </c>
    </row>
    <row r="39" spans="1:7" x14ac:dyDescent="0.2">
      <c r="A39" s="15" t="s">
        <v>77</v>
      </c>
      <c r="B39" s="16" t="s">
        <v>8</v>
      </c>
      <c r="C39" s="12">
        <v>0.215</v>
      </c>
      <c r="D39" s="12">
        <v>0.215</v>
      </c>
      <c r="E39" s="12">
        <v>0.215</v>
      </c>
      <c r="F39" s="12">
        <v>0.185</v>
      </c>
      <c r="G39" s="12">
        <v>0.19</v>
      </c>
    </row>
    <row r="40" spans="1:7" x14ac:dyDescent="0.2">
      <c r="A40" s="15" t="s">
        <v>78</v>
      </c>
      <c r="B40" s="16" t="s">
        <v>8</v>
      </c>
      <c r="C40" s="12">
        <v>0.27999999999999997</v>
      </c>
      <c r="D40" s="12">
        <v>0.23499999999999999</v>
      </c>
      <c r="E40" s="12">
        <v>0.23499999999999999</v>
      </c>
      <c r="F40" s="12">
        <v>0.185</v>
      </c>
      <c r="G40" s="12">
        <v>0.19</v>
      </c>
    </row>
    <row r="41" spans="1:7" x14ac:dyDescent="0.2">
      <c r="A41" s="15" t="s">
        <v>79</v>
      </c>
      <c r="B41" s="16" t="s">
        <v>8</v>
      </c>
      <c r="C41" s="12">
        <v>0.27999999999999997</v>
      </c>
      <c r="D41" s="12">
        <v>0.24</v>
      </c>
      <c r="E41" s="12">
        <v>0.245</v>
      </c>
      <c r="F41" s="12">
        <v>0.185</v>
      </c>
      <c r="G41" s="12">
        <v>0.19</v>
      </c>
    </row>
    <row r="42" spans="1:7" x14ac:dyDescent="0.2">
      <c r="A42" s="15" t="s">
        <v>93</v>
      </c>
      <c r="B42" s="16" t="s">
        <v>8</v>
      </c>
      <c r="C42" s="12">
        <v>0.215</v>
      </c>
      <c r="D42" s="12">
        <v>0.215</v>
      </c>
      <c r="E42" s="12">
        <v>0.215</v>
      </c>
      <c r="F42" s="12">
        <v>0.185</v>
      </c>
      <c r="G42" s="12">
        <v>0.19</v>
      </c>
    </row>
    <row r="43" spans="1:7" x14ac:dyDescent="0.2">
      <c r="A43" s="15" t="s">
        <v>94</v>
      </c>
      <c r="B43" s="16" t="s">
        <v>8</v>
      </c>
      <c r="C43" s="12">
        <v>0.215</v>
      </c>
      <c r="D43" s="12">
        <v>0.19</v>
      </c>
      <c r="E43" s="12">
        <v>0.19</v>
      </c>
      <c r="F43" s="12">
        <v>0.185</v>
      </c>
      <c r="G43" s="12">
        <v>0.19</v>
      </c>
    </row>
    <row r="44" spans="1:7" x14ac:dyDescent="0.2">
      <c r="A44" s="15" t="s">
        <v>95</v>
      </c>
      <c r="B44" s="16" t="s">
        <v>8</v>
      </c>
      <c r="C44" s="12">
        <v>0.215</v>
      </c>
      <c r="D44" s="12">
        <v>0.19</v>
      </c>
      <c r="E44" s="12">
        <v>0.19</v>
      </c>
      <c r="F44" s="12">
        <v>0.185</v>
      </c>
      <c r="G44" s="12">
        <v>0.19</v>
      </c>
    </row>
    <row r="45" spans="1:7" x14ac:dyDescent="0.2">
      <c r="A45" s="15" t="s">
        <v>96</v>
      </c>
      <c r="B45" s="16" t="s">
        <v>8</v>
      </c>
      <c r="C45" s="12">
        <v>0.215</v>
      </c>
      <c r="D45" s="12">
        <v>0.19</v>
      </c>
      <c r="E45" s="12">
        <v>0.19</v>
      </c>
      <c r="F45" s="12">
        <v>0.185</v>
      </c>
      <c r="G45" s="12">
        <v>0.19</v>
      </c>
    </row>
    <row r="46" spans="1:7" x14ac:dyDescent="0.2">
      <c r="A46" s="15" t="s">
        <v>97</v>
      </c>
      <c r="B46" s="16" t="s">
        <v>8</v>
      </c>
      <c r="C46" s="12">
        <v>0.27999999999999997</v>
      </c>
      <c r="D46" s="12">
        <v>0.21</v>
      </c>
      <c r="E46" s="12">
        <v>0.26</v>
      </c>
      <c r="F46" s="12">
        <v>0.185</v>
      </c>
      <c r="G46" s="12">
        <v>0.19</v>
      </c>
    </row>
    <row r="47" spans="1:7" x14ac:dyDescent="0.2">
      <c r="A47" s="15" t="s">
        <v>98</v>
      </c>
      <c r="B47" s="16" t="s">
        <v>8</v>
      </c>
      <c r="C47" s="12">
        <v>0.27999999999999997</v>
      </c>
      <c r="D47" s="12">
        <v>0.21</v>
      </c>
      <c r="E47" s="12">
        <v>0.26</v>
      </c>
      <c r="F47" s="12">
        <v>0.185</v>
      </c>
      <c r="G47" s="12">
        <v>0.19</v>
      </c>
    </row>
    <row r="48" spans="1:7" x14ac:dyDescent="0.2">
      <c r="A48" s="15" t="s">
        <v>99</v>
      </c>
      <c r="B48" s="16" t="s">
        <v>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</row>
    <row r="49" spans="1:7" x14ac:dyDescent="0.2">
      <c r="A49" s="15" t="s">
        <v>100</v>
      </c>
      <c r="B49" s="16" t="s">
        <v>8</v>
      </c>
      <c r="C49" s="12">
        <v>0.24</v>
      </c>
      <c r="D49" s="12">
        <v>0.22500000000000001</v>
      </c>
      <c r="E49" s="12">
        <v>0.22500000000000001</v>
      </c>
      <c r="F49" s="12">
        <v>0.185</v>
      </c>
      <c r="G49" s="12">
        <v>0.19</v>
      </c>
    </row>
    <row r="50" spans="1:7" x14ac:dyDescent="0.2">
      <c r="A50" s="15" t="s">
        <v>101</v>
      </c>
      <c r="B50" s="16" t="s">
        <v>8</v>
      </c>
      <c r="C50" s="12">
        <v>0.24</v>
      </c>
      <c r="D50" s="12">
        <v>0.22500000000000001</v>
      </c>
      <c r="E50" s="12">
        <v>0.22500000000000001</v>
      </c>
      <c r="F50" s="12">
        <v>0.185</v>
      </c>
      <c r="G50" s="12">
        <v>0.19</v>
      </c>
    </row>
    <row r="51" spans="1:7" x14ac:dyDescent="0.2">
      <c r="A51" s="15" t="s">
        <v>102</v>
      </c>
      <c r="B51" s="16" t="s">
        <v>8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</row>
    <row r="52" spans="1:7" x14ac:dyDescent="0.2">
      <c r="A52" s="15" t="s">
        <v>103</v>
      </c>
      <c r="B52" s="16" t="s">
        <v>8</v>
      </c>
      <c r="C52" s="12">
        <v>0.27999999999999997</v>
      </c>
      <c r="D52" s="12">
        <v>0.22500000000000001</v>
      </c>
      <c r="E52" s="12">
        <v>0.22500000000000001</v>
      </c>
      <c r="F52" s="12">
        <v>0.185</v>
      </c>
      <c r="G52" s="12">
        <v>0.19</v>
      </c>
    </row>
    <row r="53" spans="1:7" x14ac:dyDescent="0.2">
      <c r="A53" s="15" t="s">
        <v>104</v>
      </c>
      <c r="B53" s="16" t="s">
        <v>8</v>
      </c>
      <c r="C53" s="12">
        <v>0.27999999999999997</v>
      </c>
      <c r="D53" s="12">
        <v>0.22500000000000001</v>
      </c>
      <c r="E53" s="12">
        <v>0.22500000000000001</v>
      </c>
      <c r="F53" s="12">
        <v>0.185</v>
      </c>
      <c r="G53" s="12">
        <v>0.19</v>
      </c>
    </row>
    <row r="54" spans="1:7" x14ac:dyDescent="0.2">
      <c r="A54" s="15" t="s">
        <v>105</v>
      </c>
      <c r="B54" s="16" t="s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</row>
    <row r="55" spans="1:7" x14ac:dyDescent="0.2">
      <c r="A55" s="15" t="s">
        <v>106</v>
      </c>
      <c r="B55" s="16" t="s">
        <v>8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</row>
    <row r="56" spans="1:7" x14ac:dyDescent="0.2">
      <c r="A56" s="15" t="s">
        <v>107</v>
      </c>
      <c r="B56" s="16" t="s">
        <v>8</v>
      </c>
      <c r="C56" s="12">
        <v>0.27999999999999997</v>
      </c>
      <c r="D56" s="12">
        <v>0.21</v>
      </c>
      <c r="E56" s="12">
        <v>0.26</v>
      </c>
      <c r="F56" s="12">
        <v>0.185</v>
      </c>
      <c r="G56" s="12">
        <v>0.19</v>
      </c>
    </row>
    <row r="57" spans="1:7" x14ac:dyDescent="0.2">
      <c r="A57" s="15" t="s">
        <v>108</v>
      </c>
      <c r="B57" s="16" t="s">
        <v>8</v>
      </c>
      <c r="C57" s="12">
        <v>0.27999999999999997</v>
      </c>
      <c r="D57" s="12">
        <v>0.21</v>
      </c>
      <c r="E57" s="12">
        <v>0.26</v>
      </c>
      <c r="F57" s="12">
        <v>0.185</v>
      </c>
      <c r="G57" s="12">
        <v>0.20499999999999999</v>
      </c>
    </row>
    <row r="58" spans="1:7" x14ac:dyDescent="0.2">
      <c r="A58" s="17" t="s">
        <v>113</v>
      </c>
      <c r="B58" s="18" t="s">
        <v>8</v>
      </c>
      <c r="C58" s="19">
        <v>0.28000000000000003</v>
      </c>
      <c r="D58" s="19">
        <v>0.22500000000000001</v>
      </c>
      <c r="E58" s="19">
        <v>0.28000000000000003</v>
      </c>
      <c r="F58" s="19">
        <v>0.185</v>
      </c>
      <c r="G58" s="19">
        <v>0.21</v>
      </c>
    </row>
    <row r="59" spans="1:7" x14ac:dyDescent="0.2">
      <c r="A59" s="17" t="s">
        <v>114</v>
      </c>
      <c r="B59" s="18" t="s">
        <v>8</v>
      </c>
      <c r="C59" s="19">
        <v>0.23</v>
      </c>
      <c r="D59" s="19">
        <v>0.14499999999999999</v>
      </c>
      <c r="E59" s="19">
        <v>0.14499999999999999</v>
      </c>
      <c r="F59" s="19">
        <v>0.14499999999999999</v>
      </c>
      <c r="G59" s="19">
        <v>0.19</v>
      </c>
    </row>
    <row r="60" spans="1:7" x14ac:dyDescent="0.2">
      <c r="A60" s="17" t="s">
        <v>115</v>
      </c>
      <c r="B60" s="18" t="s">
        <v>8</v>
      </c>
      <c r="C60" s="19">
        <v>0.23</v>
      </c>
      <c r="D60" s="19">
        <v>0.14499999999999999</v>
      </c>
      <c r="E60" s="19">
        <v>0.15</v>
      </c>
      <c r="F60" s="19">
        <v>0.14499999999999999</v>
      </c>
      <c r="G60" s="19">
        <v>0.17499999999999999</v>
      </c>
    </row>
    <row r="61" spans="1:7" x14ac:dyDescent="0.2">
      <c r="A61" s="17" t="s">
        <v>116</v>
      </c>
      <c r="B61" s="18" t="s">
        <v>8</v>
      </c>
      <c r="C61" s="19">
        <v>0.28000000000000003</v>
      </c>
      <c r="D61" s="19">
        <v>0.23499999999999999</v>
      </c>
      <c r="E61" s="19">
        <v>0.28000000000000003</v>
      </c>
      <c r="F61" s="19">
        <v>0.185</v>
      </c>
      <c r="G61" s="19">
        <v>0.19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0471-3EDD-4BBD-9AE0-7DA738E42020}">
  <sheetPr filterMode="1"/>
  <dimension ref="A2:J76"/>
  <sheetViews>
    <sheetView workbookViewId="0">
      <pane ySplit="2" topLeftCell="A3" activePane="bottomLeft" state="frozen"/>
      <selection pane="bottomLeft" activeCell="J40" sqref="A40:XFD41"/>
    </sheetView>
  </sheetViews>
  <sheetFormatPr defaultColWidth="9.140625" defaultRowHeight="11.25" x14ac:dyDescent="0.2"/>
  <cols>
    <col min="1" max="1" width="20.5703125" style="8" bestFit="1" customWidth="1"/>
    <col min="2" max="2" width="52.42578125" style="8" bestFit="1" customWidth="1"/>
    <col min="3" max="3" width="11.5703125" style="8" bestFit="1" customWidth="1"/>
    <col min="4" max="4" width="14.5703125" style="8" bestFit="1" customWidth="1"/>
    <col min="5" max="5" width="11.5703125" style="8" bestFit="1" customWidth="1"/>
    <col min="6" max="6" width="14.5703125" style="8" bestFit="1" customWidth="1"/>
    <col min="7" max="8" width="11.5703125" style="8" bestFit="1" customWidth="1"/>
    <col min="9" max="9" width="14.5703125" style="8" bestFit="1" customWidth="1"/>
    <col min="10" max="10" width="11.5703125" style="8" bestFit="1" customWidth="1"/>
    <col min="11" max="16384" width="9.140625" style="8"/>
  </cols>
  <sheetData>
    <row r="2" spans="1:10" x14ac:dyDescent="0.2">
      <c r="C2" s="102" t="s">
        <v>217</v>
      </c>
      <c r="D2" s="102"/>
      <c r="E2" s="102"/>
      <c r="F2" s="102"/>
      <c r="G2" s="102"/>
    </row>
    <row r="3" spans="1:10" x14ac:dyDescent="0.2">
      <c r="C3" s="101" t="s">
        <v>21</v>
      </c>
      <c r="D3" s="101"/>
      <c r="E3" s="101"/>
      <c r="F3" s="101" t="s">
        <v>22</v>
      </c>
      <c r="G3" s="101"/>
      <c r="H3" s="101" t="s">
        <v>258</v>
      </c>
      <c r="I3" s="101"/>
      <c r="J3" s="101"/>
    </row>
    <row r="4" spans="1:10" x14ac:dyDescent="0.2">
      <c r="A4" s="45" t="s">
        <v>143</v>
      </c>
      <c r="B4" s="45" t="s">
        <v>144</v>
      </c>
      <c r="C4" s="10" t="s">
        <v>23</v>
      </c>
      <c r="D4" s="10" t="s">
        <v>24</v>
      </c>
      <c r="E4" s="10" t="s">
        <v>25</v>
      </c>
      <c r="F4" s="10" t="s">
        <v>24</v>
      </c>
      <c r="G4" s="10" t="s">
        <v>25</v>
      </c>
      <c r="H4" s="10" t="s">
        <v>23</v>
      </c>
      <c r="I4" s="10" t="s">
        <v>24</v>
      </c>
      <c r="J4" s="10" t="s">
        <v>25</v>
      </c>
    </row>
    <row r="5" spans="1:10" hidden="1" x14ac:dyDescent="0.2">
      <c r="A5" s="42" t="s">
        <v>145</v>
      </c>
      <c r="B5" s="42" t="s">
        <v>7</v>
      </c>
      <c r="C5" s="25">
        <v>0</v>
      </c>
      <c r="D5" s="25">
        <v>0.26</v>
      </c>
      <c r="E5" s="25">
        <v>0.4</v>
      </c>
      <c r="F5" s="25">
        <v>0</v>
      </c>
      <c r="G5" s="25">
        <v>0</v>
      </c>
      <c r="H5" s="86">
        <v>0</v>
      </c>
      <c r="I5" s="86">
        <v>0</v>
      </c>
      <c r="J5" s="86">
        <v>0.28999999999999998</v>
      </c>
    </row>
    <row r="6" spans="1:10" hidden="1" x14ac:dyDescent="0.2">
      <c r="A6" s="42" t="s">
        <v>146</v>
      </c>
      <c r="B6" s="42" t="s">
        <v>10</v>
      </c>
      <c r="C6" s="25">
        <v>0.26</v>
      </c>
      <c r="D6" s="25">
        <v>0.37</v>
      </c>
      <c r="E6" s="25">
        <v>0.4</v>
      </c>
      <c r="F6" s="25">
        <v>0</v>
      </c>
      <c r="G6" s="25">
        <v>0.2</v>
      </c>
      <c r="H6" s="86">
        <v>0</v>
      </c>
      <c r="I6" s="86">
        <v>0</v>
      </c>
      <c r="J6" s="86">
        <v>0.38</v>
      </c>
    </row>
    <row r="7" spans="1:10" hidden="1" x14ac:dyDescent="0.2">
      <c r="A7" s="42" t="s">
        <v>147</v>
      </c>
      <c r="B7" s="42" t="s">
        <v>9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86">
        <v>0</v>
      </c>
      <c r="I7" s="86">
        <v>0</v>
      </c>
      <c r="J7" s="86">
        <v>0</v>
      </c>
    </row>
    <row r="8" spans="1:10" hidden="1" x14ac:dyDescent="0.2">
      <c r="A8" s="42" t="s">
        <v>93</v>
      </c>
      <c r="B8" s="42" t="s">
        <v>93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86">
        <v>0.22</v>
      </c>
      <c r="I8" s="86">
        <v>0.36</v>
      </c>
      <c r="J8" s="86">
        <v>0.53</v>
      </c>
    </row>
    <row r="9" spans="1:10" hidden="1" x14ac:dyDescent="0.2">
      <c r="A9" s="42" t="s">
        <v>148</v>
      </c>
      <c r="B9" s="42" t="s">
        <v>94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86">
        <v>0</v>
      </c>
      <c r="I9" s="86">
        <v>0</v>
      </c>
      <c r="J9" s="86">
        <v>0</v>
      </c>
    </row>
    <row r="10" spans="1:10" hidden="1" x14ac:dyDescent="0.2">
      <c r="A10" s="42" t="s">
        <v>149</v>
      </c>
      <c r="B10" s="42" t="s">
        <v>96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86">
        <v>0</v>
      </c>
      <c r="I10" s="86">
        <v>0.14000000000000001</v>
      </c>
      <c r="J10" s="86">
        <v>0.39</v>
      </c>
    </row>
    <row r="11" spans="1:10" hidden="1" x14ac:dyDescent="0.2">
      <c r="A11" s="42" t="s">
        <v>150</v>
      </c>
      <c r="B11" s="42" t="s">
        <v>95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86">
        <v>0</v>
      </c>
      <c r="I11" s="86">
        <v>0</v>
      </c>
      <c r="J11" s="86">
        <v>0</v>
      </c>
    </row>
    <row r="12" spans="1:10" hidden="1" x14ac:dyDescent="0.2">
      <c r="A12" s="42" t="s">
        <v>97</v>
      </c>
      <c r="B12" s="42" t="s">
        <v>97</v>
      </c>
      <c r="C12" s="25">
        <v>0.43</v>
      </c>
      <c r="D12" s="25">
        <v>0.5</v>
      </c>
      <c r="E12" s="25">
        <v>0.55000000000000004</v>
      </c>
      <c r="F12" s="25">
        <v>0</v>
      </c>
      <c r="G12" s="25">
        <v>0.35</v>
      </c>
      <c r="H12" s="86">
        <v>0</v>
      </c>
      <c r="I12" s="86">
        <v>0.28999999999999998</v>
      </c>
      <c r="J12" s="86">
        <v>0.49</v>
      </c>
    </row>
    <row r="13" spans="1:10" hidden="1" x14ac:dyDescent="0.2">
      <c r="A13" s="42" t="s">
        <v>62</v>
      </c>
      <c r="B13" s="42" t="s">
        <v>62</v>
      </c>
      <c r="C13" s="25">
        <v>0.15</v>
      </c>
      <c r="D13" s="25">
        <v>0.4</v>
      </c>
      <c r="E13" s="25">
        <v>0.55000000000000004</v>
      </c>
      <c r="F13" s="25">
        <v>0</v>
      </c>
      <c r="G13" s="25">
        <v>0.19</v>
      </c>
      <c r="H13" s="86">
        <v>0</v>
      </c>
      <c r="I13" s="86">
        <v>0</v>
      </c>
      <c r="J13" s="86">
        <v>0.36</v>
      </c>
    </row>
    <row r="14" spans="1:10" hidden="1" x14ac:dyDescent="0.2">
      <c r="A14" s="42" t="s">
        <v>151</v>
      </c>
      <c r="B14" s="42" t="s">
        <v>109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86">
        <v>0</v>
      </c>
      <c r="I14" s="86">
        <v>0</v>
      </c>
      <c r="J14" s="86">
        <v>0.19</v>
      </c>
    </row>
    <row r="15" spans="1:10" hidden="1" x14ac:dyDescent="0.2">
      <c r="A15" s="42" t="s">
        <v>152</v>
      </c>
      <c r="B15" s="42" t="s">
        <v>110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86">
        <v>0</v>
      </c>
      <c r="I15" s="86">
        <v>0</v>
      </c>
      <c r="J15" s="86">
        <v>0</v>
      </c>
    </row>
    <row r="16" spans="1:10" hidden="1" x14ac:dyDescent="0.2">
      <c r="A16" s="42" t="s">
        <v>63</v>
      </c>
      <c r="B16" s="42" t="s">
        <v>63</v>
      </c>
      <c r="C16" s="92">
        <v>0.44</v>
      </c>
      <c r="D16" s="92">
        <v>0.54</v>
      </c>
      <c r="E16" s="92">
        <v>0.54</v>
      </c>
      <c r="F16" s="61">
        <v>0.2</v>
      </c>
      <c r="G16" s="25">
        <v>0.43</v>
      </c>
      <c r="H16" s="86">
        <v>0.21</v>
      </c>
      <c r="I16" s="86">
        <v>0.35</v>
      </c>
      <c r="J16" s="86">
        <v>0.54</v>
      </c>
    </row>
    <row r="17" spans="1:10" x14ac:dyDescent="0.2">
      <c r="A17" s="42" t="s">
        <v>52</v>
      </c>
      <c r="B17" s="42" t="s">
        <v>52</v>
      </c>
      <c r="C17" s="25">
        <v>0.52</v>
      </c>
      <c r="D17" s="25">
        <v>0.53</v>
      </c>
      <c r="E17" s="25">
        <v>0.53</v>
      </c>
      <c r="F17" s="61">
        <v>0.35</v>
      </c>
      <c r="G17" s="73">
        <v>0.5</v>
      </c>
      <c r="H17" s="86">
        <v>0.36</v>
      </c>
      <c r="I17" s="86">
        <v>0.47</v>
      </c>
      <c r="J17" s="86">
        <v>0.54</v>
      </c>
    </row>
    <row r="18" spans="1:10" hidden="1" x14ac:dyDescent="0.2">
      <c r="A18" s="42" t="s">
        <v>153</v>
      </c>
      <c r="B18" s="42" t="s">
        <v>113</v>
      </c>
      <c r="C18" s="25">
        <v>0</v>
      </c>
      <c r="D18" s="25">
        <v>0.3</v>
      </c>
      <c r="E18" s="25">
        <v>0.52</v>
      </c>
      <c r="F18" s="25">
        <v>0</v>
      </c>
      <c r="G18" s="25">
        <v>0</v>
      </c>
      <c r="H18" s="86">
        <v>0</v>
      </c>
      <c r="I18" s="86">
        <v>0</v>
      </c>
      <c r="J18" s="86">
        <v>0.31</v>
      </c>
    </row>
    <row r="19" spans="1:10" hidden="1" x14ac:dyDescent="0.2">
      <c r="A19" s="42" t="s">
        <v>154</v>
      </c>
      <c r="B19" s="42" t="s">
        <v>116</v>
      </c>
      <c r="C19" s="25">
        <v>0</v>
      </c>
      <c r="D19" s="25">
        <v>0.2</v>
      </c>
      <c r="E19" s="25">
        <v>0.47</v>
      </c>
      <c r="F19" s="25">
        <v>0</v>
      </c>
      <c r="G19" s="25">
        <v>0</v>
      </c>
      <c r="H19" s="86">
        <v>0</v>
      </c>
      <c r="I19" s="86">
        <v>0</v>
      </c>
      <c r="J19" s="86">
        <v>0</v>
      </c>
    </row>
    <row r="20" spans="1:10" hidden="1" x14ac:dyDescent="0.2">
      <c r="A20" s="42" t="s">
        <v>155</v>
      </c>
      <c r="B20" s="42" t="s">
        <v>114</v>
      </c>
      <c r="C20" s="25">
        <v>0</v>
      </c>
      <c r="D20" s="25">
        <v>0</v>
      </c>
      <c r="E20" s="25">
        <v>0.35</v>
      </c>
      <c r="F20" s="25">
        <v>0</v>
      </c>
      <c r="G20" s="25">
        <v>0</v>
      </c>
      <c r="H20" s="86">
        <v>0</v>
      </c>
      <c r="I20" s="86">
        <v>0</v>
      </c>
      <c r="J20" s="86">
        <v>0</v>
      </c>
    </row>
    <row r="21" spans="1:10" hidden="1" x14ac:dyDescent="0.2">
      <c r="A21" s="42" t="s">
        <v>156</v>
      </c>
      <c r="B21" s="42" t="s">
        <v>114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86">
        <v>0</v>
      </c>
      <c r="I21" s="86">
        <v>0</v>
      </c>
      <c r="J21" s="86">
        <v>0</v>
      </c>
    </row>
    <row r="22" spans="1:10" hidden="1" x14ac:dyDescent="0.2">
      <c r="A22" s="42" t="s">
        <v>157</v>
      </c>
      <c r="B22" s="42" t="s">
        <v>115</v>
      </c>
      <c r="C22" s="25">
        <v>0.32</v>
      </c>
      <c r="D22" s="25">
        <v>0.45</v>
      </c>
      <c r="E22" s="25">
        <v>0.51</v>
      </c>
      <c r="F22" s="25">
        <v>0</v>
      </c>
      <c r="G22" s="25">
        <v>0.3</v>
      </c>
      <c r="H22" s="86">
        <v>0</v>
      </c>
      <c r="I22" s="86">
        <v>0.19</v>
      </c>
      <c r="J22" s="86">
        <v>0.43</v>
      </c>
    </row>
    <row r="23" spans="1:10" hidden="1" x14ac:dyDescent="0.2">
      <c r="A23" s="42" t="s">
        <v>158</v>
      </c>
      <c r="B23" s="42" t="s">
        <v>64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86">
        <v>0</v>
      </c>
      <c r="I23" s="86">
        <v>0</v>
      </c>
      <c r="J23" s="86">
        <v>0</v>
      </c>
    </row>
    <row r="24" spans="1:10" hidden="1" x14ac:dyDescent="0.2">
      <c r="A24" s="42" t="s">
        <v>159</v>
      </c>
      <c r="B24" s="42" t="s">
        <v>65</v>
      </c>
      <c r="C24" s="25">
        <v>0</v>
      </c>
      <c r="D24" s="25">
        <v>0.25</v>
      </c>
      <c r="E24" s="25">
        <v>0.45</v>
      </c>
      <c r="F24" s="25">
        <v>0</v>
      </c>
      <c r="G24" s="25">
        <v>0</v>
      </c>
      <c r="H24" s="86">
        <v>0</v>
      </c>
      <c r="I24" s="86">
        <v>0</v>
      </c>
      <c r="J24" s="86">
        <v>0.28000000000000003</v>
      </c>
    </row>
    <row r="25" spans="1:10" hidden="1" x14ac:dyDescent="0.2">
      <c r="A25" s="42" t="s">
        <v>160</v>
      </c>
      <c r="B25" s="42" t="s">
        <v>66</v>
      </c>
      <c r="C25" s="25">
        <v>0</v>
      </c>
      <c r="D25" s="25">
        <v>0</v>
      </c>
      <c r="E25" s="25">
        <v>0.18</v>
      </c>
      <c r="F25" s="25">
        <v>0</v>
      </c>
      <c r="G25" s="25">
        <v>0</v>
      </c>
      <c r="H25" s="86">
        <v>0</v>
      </c>
      <c r="I25" s="86">
        <v>0</v>
      </c>
      <c r="J25" s="86">
        <v>0</v>
      </c>
    </row>
    <row r="26" spans="1:10" hidden="1" x14ac:dyDescent="0.2">
      <c r="A26" s="42" t="s">
        <v>161</v>
      </c>
      <c r="B26" s="42" t="s">
        <v>67</v>
      </c>
      <c r="C26" s="25">
        <v>0.36</v>
      </c>
      <c r="D26" s="25">
        <v>0.48</v>
      </c>
      <c r="E26" s="25">
        <v>0.51</v>
      </c>
      <c r="F26" s="25">
        <v>0</v>
      </c>
      <c r="G26" s="25">
        <v>0.33</v>
      </c>
      <c r="H26" s="86">
        <v>0</v>
      </c>
      <c r="I26" s="86">
        <v>0.21</v>
      </c>
      <c r="J26" s="86">
        <v>0.45</v>
      </c>
    </row>
    <row r="27" spans="1:10" hidden="1" x14ac:dyDescent="0.2">
      <c r="A27" s="42" t="s">
        <v>162</v>
      </c>
      <c r="B27" s="42" t="s">
        <v>68</v>
      </c>
      <c r="C27" s="25">
        <v>0.28000000000000003</v>
      </c>
      <c r="D27" s="25">
        <v>0.42</v>
      </c>
      <c r="E27" s="25">
        <v>0.51</v>
      </c>
      <c r="F27" s="25">
        <v>0</v>
      </c>
      <c r="G27" s="25">
        <v>0.28999999999999998</v>
      </c>
      <c r="H27" s="86">
        <v>0</v>
      </c>
      <c r="I27" s="86">
        <v>0.21</v>
      </c>
      <c r="J27" s="86">
        <v>0.45</v>
      </c>
    </row>
    <row r="28" spans="1:10" hidden="1" x14ac:dyDescent="0.2">
      <c r="A28" s="42" t="s">
        <v>98</v>
      </c>
      <c r="B28" s="42" t="s">
        <v>98</v>
      </c>
      <c r="C28" s="25">
        <v>0.34</v>
      </c>
      <c r="D28" s="25">
        <v>0.44</v>
      </c>
      <c r="E28" s="25">
        <v>0.48</v>
      </c>
      <c r="F28" s="25">
        <v>0</v>
      </c>
      <c r="G28" s="25">
        <v>0.32</v>
      </c>
      <c r="H28" s="86">
        <v>0</v>
      </c>
      <c r="I28" s="86">
        <v>0.24</v>
      </c>
      <c r="J28" s="86">
        <v>0.46</v>
      </c>
    </row>
    <row r="29" spans="1:10" hidden="1" x14ac:dyDescent="0.2">
      <c r="A29" s="42" t="s">
        <v>163</v>
      </c>
      <c r="B29" s="42" t="s">
        <v>11</v>
      </c>
      <c r="C29" s="25">
        <v>0</v>
      </c>
      <c r="D29" s="25">
        <v>0.27</v>
      </c>
      <c r="E29" s="25">
        <v>0.41</v>
      </c>
      <c r="F29" s="25">
        <v>0</v>
      </c>
      <c r="G29" s="25">
        <v>0</v>
      </c>
      <c r="H29" s="86">
        <v>0</v>
      </c>
      <c r="I29" s="86">
        <v>0</v>
      </c>
      <c r="J29" s="86">
        <v>0.28000000000000003</v>
      </c>
    </row>
    <row r="30" spans="1:10" hidden="1" x14ac:dyDescent="0.2">
      <c r="A30" s="42" t="s">
        <v>164</v>
      </c>
      <c r="B30" s="42" t="s">
        <v>13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86">
        <v>0</v>
      </c>
      <c r="I30" s="86">
        <v>0</v>
      </c>
      <c r="J30" s="86">
        <v>0</v>
      </c>
    </row>
    <row r="31" spans="1:10" hidden="1" x14ac:dyDescent="0.2">
      <c r="A31" s="42" t="s">
        <v>165</v>
      </c>
      <c r="B31" s="42" t="s">
        <v>12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86">
        <v>0</v>
      </c>
      <c r="I31" s="86">
        <v>0</v>
      </c>
      <c r="J31" s="86">
        <v>0</v>
      </c>
    </row>
    <row r="32" spans="1:10" hidden="1" x14ac:dyDescent="0.2">
      <c r="A32" s="42" t="s">
        <v>166</v>
      </c>
      <c r="B32" s="42" t="s">
        <v>13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86">
        <v>0</v>
      </c>
      <c r="I32" s="86">
        <v>0</v>
      </c>
      <c r="J32" s="86">
        <v>0</v>
      </c>
    </row>
    <row r="33" spans="1:10" hidden="1" x14ac:dyDescent="0.2">
      <c r="A33" s="42" t="s">
        <v>167</v>
      </c>
      <c r="B33" s="42" t="s">
        <v>14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86">
        <v>0</v>
      </c>
      <c r="I33" s="86">
        <v>0</v>
      </c>
      <c r="J33" s="86">
        <v>0</v>
      </c>
    </row>
    <row r="34" spans="1:10" hidden="1" x14ac:dyDescent="0.2">
      <c r="A34" s="42" t="s">
        <v>168</v>
      </c>
      <c r="B34" s="42" t="s">
        <v>15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86">
        <v>0</v>
      </c>
      <c r="I34" s="86">
        <v>0</v>
      </c>
      <c r="J34" s="86">
        <v>0</v>
      </c>
    </row>
    <row r="35" spans="1:10" hidden="1" x14ac:dyDescent="0.2">
      <c r="A35" s="42" t="s">
        <v>169</v>
      </c>
      <c r="B35" s="42" t="s">
        <v>16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86">
        <v>0</v>
      </c>
      <c r="I35" s="86">
        <v>0</v>
      </c>
      <c r="J35" s="86">
        <v>0</v>
      </c>
    </row>
    <row r="36" spans="1:10" hidden="1" x14ac:dyDescent="0.2">
      <c r="A36" s="42" t="s">
        <v>170</v>
      </c>
      <c r="B36" s="42" t="s">
        <v>16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86">
        <v>0</v>
      </c>
      <c r="I36" s="86">
        <v>0</v>
      </c>
      <c r="J36" s="86">
        <v>0</v>
      </c>
    </row>
    <row r="37" spans="1:10" hidden="1" x14ac:dyDescent="0.2">
      <c r="A37" s="42" t="s">
        <v>171</v>
      </c>
      <c r="B37" s="42" t="s">
        <v>53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86">
        <v>0</v>
      </c>
      <c r="I37" s="86">
        <v>0</v>
      </c>
      <c r="J37" s="86">
        <v>0</v>
      </c>
    </row>
    <row r="38" spans="1:10" hidden="1" x14ac:dyDescent="0.2">
      <c r="A38" s="42" t="s">
        <v>172</v>
      </c>
      <c r="B38" s="42" t="s">
        <v>55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86">
        <v>0</v>
      </c>
      <c r="I38" s="86">
        <v>0</v>
      </c>
      <c r="J38" s="86">
        <v>0</v>
      </c>
    </row>
    <row r="39" spans="1:10" hidden="1" x14ac:dyDescent="0.2">
      <c r="A39" s="42" t="s">
        <v>173</v>
      </c>
      <c r="B39" s="42" t="s">
        <v>56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86">
        <v>0</v>
      </c>
      <c r="I39" s="86">
        <v>0</v>
      </c>
      <c r="J39" s="86">
        <v>0</v>
      </c>
    </row>
    <row r="40" spans="1:10" x14ac:dyDescent="0.2">
      <c r="A40" s="42" t="s">
        <v>174</v>
      </c>
      <c r="B40" s="42" t="s">
        <v>57</v>
      </c>
      <c r="C40" s="25">
        <v>0.52</v>
      </c>
      <c r="D40" s="25">
        <v>0.6</v>
      </c>
      <c r="E40" s="25">
        <v>0.6</v>
      </c>
      <c r="F40" s="61">
        <v>0.3</v>
      </c>
      <c r="G40" s="25">
        <v>0.55000000000000004</v>
      </c>
      <c r="H40" s="86">
        <v>0.34</v>
      </c>
      <c r="I40" s="86">
        <v>0.46</v>
      </c>
      <c r="J40" s="86">
        <v>0.55000000000000004</v>
      </c>
    </row>
    <row r="41" spans="1:10" x14ac:dyDescent="0.2">
      <c r="A41" s="42" t="s">
        <v>175</v>
      </c>
      <c r="B41" s="42" t="s">
        <v>61</v>
      </c>
      <c r="C41" s="25">
        <v>0.52</v>
      </c>
      <c r="D41" s="25">
        <v>0.6</v>
      </c>
      <c r="E41" s="25">
        <v>0.6</v>
      </c>
      <c r="F41" s="61">
        <v>0.35</v>
      </c>
      <c r="G41" s="25">
        <v>0.55000000000000004</v>
      </c>
      <c r="H41" s="86">
        <v>0.34</v>
      </c>
      <c r="I41" s="86">
        <v>0.46</v>
      </c>
      <c r="J41" s="86">
        <v>0.55000000000000004</v>
      </c>
    </row>
    <row r="42" spans="1:10" x14ac:dyDescent="0.2">
      <c r="A42" s="42" t="s">
        <v>176</v>
      </c>
      <c r="B42" s="42" t="s">
        <v>59</v>
      </c>
      <c r="C42" s="25">
        <v>0.2</v>
      </c>
      <c r="D42" s="25">
        <v>0.35</v>
      </c>
      <c r="E42" s="25">
        <v>0.48</v>
      </c>
      <c r="F42" s="25">
        <v>0</v>
      </c>
      <c r="G42" s="25">
        <v>0.18</v>
      </c>
      <c r="H42" s="86">
        <v>0</v>
      </c>
      <c r="I42" s="86">
        <v>0</v>
      </c>
      <c r="J42" s="86">
        <v>0.34</v>
      </c>
    </row>
    <row r="43" spans="1:10" x14ac:dyDescent="0.2">
      <c r="A43" s="42" t="s">
        <v>177</v>
      </c>
      <c r="B43" s="42" t="s">
        <v>60</v>
      </c>
      <c r="C43" s="25">
        <v>0.2</v>
      </c>
      <c r="D43" s="25">
        <v>0.35</v>
      </c>
      <c r="E43" s="25">
        <v>0.48</v>
      </c>
      <c r="F43" s="25">
        <v>0</v>
      </c>
      <c r="G43" s="25">
        <v>0.18</v>
      </c>
      <c r="H43" s="86">
        <v>0</v>
      </c>
      <c r="I43" s="86">
        <v>0</v>
      </c>
      <c r="J43" s="86">
        <v>0.34</v>
      </c>
    </row>
    <row r="44" spans="1:10" x14ac:dyDescent="0.2">
      <c r="A44" s="42" t="s">
        <v>178</v>
      </c>
      <c r="B44" s="42" t="s">
        <v>60</v>
      </c>
      <c r="C44" s="25">
        <v>0</v>
      </c>
      <c r="D44" s="25">
        <v>0.2</v>
      </c>
      <c r="E44" s="25">
        <v>0.45</v>
      </c>
      <c r="F44" s="25">
        <v>0</v>
      </c>
      <c r="G44" s="25">
        <v>0</v>
      </c>
      <c r="H44" s="86">
        <v>0</v>
      </c>
      <c r="I44" s="86">
        <v>0</v>
      </c>
      <c r="J44" s="86">
        <v>0.21</v>
      </c>
    </row>
    <row r="45" spans="1:10" x14ac:dyDescent="0.2">
      <c r="A45" s="42" t="s">
        <v>179</v>
      </c>
      <c r="B45" s="42" t="s">
        <v>60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86">
        <v>0</v>
      </c>
      <c r="I45" s="86">
        <v>0</v>
      </c>
      <c r="J45" s="86">
        <v>0</v>
      </c>
    </row>
    <row r="46" spans="1:10" hidden="1" x14ac:dyDescent="0.2">
      <c r="A46" s="42" t="s">
        <v>99</v>
      </c>
      <c r="B46" s="42" t="s">
        <v>99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86">
        <v>0</v>
      </c>
      <c r="I46" s="86">
        <v>0</v>
      </c>
      <c r="J46" s="86">
        <v>0</v>
      </c>
    </row>
    <row r="47" spans="1:10" hidden="1" x14ac:dyDescent="0.2">
      <c r="A47" s="42" t="s">
        <v>100</v>
      </c>
      <c r="B47" s="42" t="s">
        <v>100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86">
        <v>0.41</v>
      </c>
      <c r="I47" s="86">
        <v>0.51</v>
      </c>
      <c r="J47" s="86">
        <v>0.55000000000000004</v>
      </c>
    </row>
    <row r="48" spans="1:10" hidden="1" x14ac:dyDescent="0.2">
      <c r="A48" s="42" t="s">
        <v>101</v>
      </c>
      <c r="B48" s="42" t="s">
        <v>101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86">
        <v>0</v>
      </c>
      <c r="I48" s="86">
        <v>0</v>
      </c>
      <c r="J48" s="86">
        <v>0.26</v>
      </c>
    </row>
    <row r="49" spans="1:10" hidden="1" x14ac:dyDescent="0.2">
      <c r="A49" s="42" t="s">
        <v>102</v>
      </c>
      <c r="B49" s="42" t="s">
        <v>102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86">
        <v>0</v>
      </c>
      <c r="I49" s="86">
        <v>0</v>
      </c>
      <c r="J49" s="86">
        <v>0</v>
      </c>
    </row>
    <row r="50" spans="1:10" hidden="1" x14ac:dyDescent="0.2">
      <c r="A50" s="42" t="s">
        <v>180</v>
      </c>
      <c r="B50" s="42" t="s">
        <v>103</v>
      </c>
      <c r="C50" s="25">
        <v>0.32</v>
      </c>
      <c r="D50" s="25">
        <v>0.37</v>
      </c>
      <c r="E50" s="25">
        <v>0.37</v>
      </c>
      <c r="F50" s="25">
        <v>0</v>
      </c>
      <c r="G50" s="25">
        <v>0.25</v>
      </c>
      <c r="H50" s="86">
        <v>0</v>
      </c>
      <c r="I50" s="86">
        <v>0.2</v>
      </c>
      <c r="J50" s="86">
        <v>0.44</v>
      </c>
    </row>
    <row r="51" spans="1:10" hidden="1" x14ac:dyDescent="0.2">
      <c r="A51" s="42" t="s">
        <v>181</v>
      </c>
      <c r="B51" s="42" t="s">
        <v>104</v>
      </c>
      <c r="C51" s="25">
        <v>0.24</v>
      </c>
      <c r="D51" s="25">
        <v>0.35</v>
      </c>
      <c r="E51" s="25">
        <v>0.35</v>
      </c>
      <c r="F51" s="25">
        <v>0</v>
      </c>
      <c r="G51" s="25">
        <v>0.25</v>
      </c>
      <c r="H51" s="86">
        <v>0</v>
      </c>
      <c r="I51" s="86">
        <v>0</v>
      </c>
      <c r="J51" s="86">
        <v>0.39</v>
      </c>
    </row>
    <row r="52" spans="1:10" hidden="1" x14ac:dyDescent="0.2">
      <c r="A52" s="42" t="s">
        <v>182</v>
      </c>
      <c r="B52" s="42" t="s">
        <v>104</v>
      </c>
      <c r="C52" s="25">
        <v>0</v>
      </c>
      <c r="D52" s="25">
        <v>0</v>
      </c>
      <c r="E52" s="25">
        <v>0.33</v>
      </c>
      <c r="F52" s="25">
        <v>0</v>
      </c>
      <c r="G52" s="25">
        <v>0</v>
      </c>
      <c r="H52" s="86">
        <v>0</v>
      </c>
      <c r="I52" s="86">
        <v>0</v>
      </c>
      <c r="J52" s="86">
        <v>0.1</v>
      </c>
    </row>
    <row r="53" spans="1:10" hidden="1" x14ac:dyDescent="0.2">
      <c r="A53" s="42" t="s">
        <v>183</v>
      </c>
      <c r="B53" s="42" t="s">
        <v>69</v>
      </c>
      <c r="C53" s="25">
        <v>0.41</v>
      </c>
      <c r="D53" s="25">
        <v>0.54</v>
      </c>
      <c r="E53" s="25">
        <v>0.56000000000000005</v>
      </c>
      <c r="F53" s="25">
        <v>0</v>
      </c>
      <c r="G53" s="86">
        <v>0.43</v>
      </c>
      <c r="H53" s="86">
        <v>0.18</v>
      </c>
      <c r="I53" s="86">
        <v>0.32</v>
      </c>
      <c r="J53" s="86">
        <v>0.51</v>
      </c>
    </row>
    <row r="54" spans="1:10" hidden="1" x14ac:dyDescent="0.2">
      <c r="A54" s="42" t="s">
        <v>184</v>
      </c>
      <c r="B54" s="42" t="s">
        <v>70</v>
      </c>
      <c r="C54" s="25">
        <v>0</v>
      </c>
      <c r="D54" s="25">
        <v>0</v>
      </c>
      <c r="E54" s="25">
        <v>0.3</v>
      </c>
      <c r="F54" s="25">
        <v>0</v>
      </c>
      <c r="G54" s="25">
        <v>0</v>
      </c>
      <c r="H54" s="86">
        <v>0</v>
      </c>
      <c r="I54" s="86">
        <v>0</v>
      </c>
      <c r="J54" s="86">
        <v>0</v>
      </c>
    </row>
    <row r="55" spans="1:10" hidden="1" x14ac:dyDescent="0.2">
      <c r="A55" s="42" t="s">
        <v>185</v>
      </c>
      <c r="B55" s="42" t="s">
        <v>186</v>
      </c>
      <c r="C55" s="25">
        <v>0</v>
      </c>
      <c r="D55" s="25">
        <v>0</v>
      </c>
      <c r="E55" s="25">
        <v>0.37</v>
      </c>
      <c r="F55" s="25">
        <v>0</v>
      </c>
      <c r="G55" s="25">
        <v>0</v>
      </c>
      <c r="H55" s="86">
        <v>0</v>
      </c>
      <c r="I55" s="86">
        <v>0</v>
      </c>
      <c r="J55" s="86">
        <v>0</v>
      </c>
    </row>
    <row r="56" spans="1:10" hidden="1" x14ac:dyDescent="0.2">
      <c r="A56" s="42" t="s">
        <v>187</v>
      </c>
      <c r="B56" s="42" t="s">
        <v>186</v>
      </c>
      <c r="C56" s="25">
        <v>0</v>
      </c>
      <c r="D56" s="25">
        <v>0</v>
      </c>
      <c r="E56" s="25">
        <v>0.32</v>
      </c>
      <c r="F56" s="25">
        <v>0</v>
      </c>
      <c r="G56" s="25">
        <v>0</v>
      </c>
      <c r="H56" s="86">
        <v>0</v>
      </c>
      <c r="I56" s="86">
        <v>0</v>
      </c>
      <c r="J56" s="86">
        <v>0</v>
      </c>
    </row>
    <row r="57" spans="1:10" hidden="1" x14ac:dyDescent="0.2">
      <c r="A57" s="42" t="s">
        <v>188</v>
      </c>
      <c r="B57" s="42" t="s">
        <v>74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86">
        <v>0</v>
      </c>
      <c r="I57" s="86">
        <v>0</v>
      </c>
      <c r="J57" s="86">
        <v>0</v>
      </c>
    </row>
    <row r="58" spans="1:10" hidden="1" x14ac:dyDescent="0.2">
      <c r="A58" s="42" t="s">
        <v>189</v>
      </c>
      <c r="B58" s="42" t="s">
        <v>73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86">
        <v>0</v>
      </c>
      <c r="I58" s="86">
        <v>0</v>
      </c>
      <c r="J58" s="86">
        <v>0</v>
      </c>
    </row>
    <row r="59" spans="1:10" hidden="1" x14ac:dyDescent="0.2">
      <c r="A59" s="42" t="s">
        <v>105</v>
      </c>
      <c r="B59" s="42" t="s">
        <v>105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86">
        <v>0</v>
      </c>
      <c r="I59" s="86">
        <v>0</v>
      </c>
      <c r="J59" s="86">
        <v>0</v>
      </c>
    </row>
    <row r="60" spans="1:10" hidden="1" x14ac:dyDescent="0.2">
      <c r="A60" s="42" t="s">
        <v>190</v>
      </c>
      <c r="B60" s="42" t="s">
        <v>17</v>
      </c>
      <c r="C60" s="25">
        <v>0</v>
      </c>
      <c r="D60" s="25">
        <v>0</v>
      </c>
      <c r="E60" s="25">
        <v>0.32</v>
      </c>
      <c r="F60" s="25">
        <v>0</v>
      </c>
      <c r="G60" s="25">
        <v>0</v>
      </c>
      <c r="H60" s="86">
        <v>0</v>
      </c>
      <c r="I60" s="86">
        <v>0</v>
      </c>
      <c r="J60" s="86">
        <v>0</v>
      </c>
    </row>
    <row r="61" spans="1:10" hidden="1" x14ac:dyDescent="0.2">
      <c r="A61" s="42" t="s">
        <v>191</v>
      </c>
      <c r="B61" s="42" t="s">
        <v>18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86">
        <v>0</v>
      </c>
      <c r="I61" s="86">
        <v>0</v>
      </c>
      <c r="J61" s="86">
        <v>0</v>
      </c>
    </row>
    <row r="62" spans="1:10" hidden="1" x14ac:dyDescent="0.2">
      <c r="A62" s="42" t="s">
        <v>192</v>
      </c>
      <c r="B62" s="42" t="s">
        <v>18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86">
        <v>0</v>
      </c>
      <c r="I62" s="86">
        <v>0</v>
      </c>
      <c r="J62" s="86">
        <v>0</v>
      </c>
    </row>
    <row r="63" spans="1:10" hidden="1" x14ac:dyDescent="0.2">
      <c r="A63" s="42" t="s">
        <v>193</v>
      </c>
      <c r="B63" s="42" t="s">
        <v>19</v>
      </c>
      <c r="C63" s="25">
        <v>0.37</v>
      </c>
      <c r="D63" s="25">
        <v>0.5</v>
      </c>
      <c r="E63" s="25">
        <v>0.5</v>
      </c>
      <c r="F63" s="25">
        <v>0</v>
      </c>
      <c r="G63" s="25">
        <v>0.35</v>
      </c>
      <c r="H63" s="86">
        <v>0</v>
      </c>
      <c r="I63" s="86">
        <v>0.26</v>
      </c>
      <c r="J63" s="86">
        <v>0.48</v>
      </c>
    </row>
    <row r="64" spans="1:10" hidden="1" x14ac:dyDescent="0.2">
      <c r="A64" s="42" t="s">
        <v>194</v>
      </c>
      <c r="B64" s="42" t="s">
        <v>20</v>
      </c>
      <c r="C64" s="25">
        <v>0</v>
      </c>
      <c r="D64" s="25">
        <v>0</v>
      </c>
      <c r="E64" s="25">
        <v>0.25</v>
      </c>
      <c r="F64" s="25">
        <v>0</v>
      </c>
      <c r="G64" s="25">
        <v>0</v>
      </c>
      <c r="H64" s="86">
        <v>0</v>
      </c>
      <c r="I64" s="86">
        <v>0</v>
      </c>
      <c r="J64" s="86">
        <v>0</v>
      </c>
    </row>
    <row r="65" spans="1:10" hidden="1" x14ac:dyDescent="0.2">
      <c r="A65" s="42" t="s">
        <v>106</v>
      </c>
      <c r="B65" s="42" t="s">
        <v>106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86">
        <v>0</v>
      </c>
      <c r="I65" s="86">
        <v>0</v>
      </c>
      <c r="J65" s="86">
        <v>0</v>
      </c>
    </row>
    <row r="66" spans="1:10" hidden="1" x14ac:dyDescent="0.2">
      <c r="A66" s="42" t="s">
        <v>195</v>
      </c>
      <c r="B66" s="42" t="s">
        <v>75</v>
      </c>
      <c r="C66" s="25">
        <v>0.3</v>
      </c>
      <c r="D66" s="93">
        <v>0.45</v>
      </c>
      <c r="E66" s="25">
        <v>0.38</v>
      </c>
      <c r="F66" s="25">
        <v>0</v>
      </c>
      <c r="G66" s="86">
        <v>0.32</v>
      </c>
      <c r="H66" s="86">
        <v>0</v>
      </c>
      <c r="I66" s="86">
        <v>0.19</v>
      </c>
      <c r="J66" s="86">
        <v>0.43</v>
      </c>
    </row>
    <row r="67" spans="1:10" hidden="1" x14ac:dyDescent="0.2">
      <c r="A67" s="42" t="s">
        <v>196</v>
      </c>
      <c r="B67" s="42" t="s">
        <v>75</v>
      </c>
      <c r="C67" s="25">
        <v>0.3</v>
      </c>
      <c r="D67" s="93">
        <v>0.45</v>
      </c>
      <c r="E67" s="25">
        <v>0.38</v>
      </c>
      <c r="F67" s="25">
        <v>0</v>
      </c>
      <c r="G67" s="86">
        <v>0.32</v>
      </c>
      <c r="H67" s="86">
        <v>0</v>
      </c>
      <c r="I67" s="86">
        <v>0.21</v>
      </c>
      <c r="J67" s="86">
        <v>0.44</v>
      </c>
    </row>
    <row r="68" spans="1:10" hidden="1" x14ac:dyDescent="0.2">
      <c r="A68" s="42" t="s">
        <v>197</v>
      </c>
      <c r="B68" s="42" t="s">
        <v>75</v>
      </c>
      <c r="C68" s="25">
        <v>0</v>
      </c>
      <c r="D68" s="25">
        <v>0</v>
      </c>
      <c r="E68" s="25">
        <v>0.36</v>
      </c>
      <c r="F68" s="25">
        <v>0</v>
      </c>
      <c r="G68" s="25">
        <v>0</v>
      </c>
      <c r="H68" s="86">
        <v>0</v>
      </c>
      <c r="I68" s="86">
        <v>0</v>
      </c>
      <c r="J68" s="86">
        <v>0</v>
      </c>
    </row>
    <row r="69" spans="1:10" hidden="1" x14ac:dyDescent="0.2">
      <c r="A69" s="42" t="s">
        <v>198</v>
      </c>
      <c r="B69" s="42" t="s">
        <v>76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86">
        <v>0</v>
      </c>
      <c r="I69" s="86">
        <v>0</v>
      </c>
      <c r="J69" s="86">
        <v>0</v>
      </c>
    </row>
    <row r="70" spans="1:10" hidden="1" x14ac:dyDescent="0.2">
      <c r="A70" s="42" t="s">
        <v>199</v>
      </c>
      <c r="B70" s="42" t="s">
        <v>78</v>
      </c>
      <c r="C70" s="25">
        <v>0.25</v>
      </c>
      <c r="D70" s="25">
        <v>0.45</v>
      </c>
      <c r="E70" s="25">
        <v>0.48</v>
      </c>
      <c r="F70" s="25">
        <v>0</v>
      </c>
      <c r="G70" s="25">
        <v>0.22</v>
      </c>
      <c r="H70" s="86">
        <v>0</v>
      </c>
      <c r="I70" s="86">
        <v>0</v>
      </c>
      <c r="J70" s="86">
        <v>0.4</v>
      </c>
    </row>
    <row r="71" spans="1:10" hidden="1" x14ac:dyDescent="0.2">
      <c r="A71" s="42" t="s">
        <v>200</v>
      </c>
      <c r="B71" s="42" t="s">
        <v>79</v>
      </c>
      <c r="C71" s="25">
        <v>0</v>
      </c>
      <c r="D71" s="25">
        <v>0</v>
      </c>
      <c r="E71" s="25">
        <v>0.35</v>
      </c>
      <c r="F71" s="25">
        <v>0</v>
      </c>
      <c r="G71" s="25">
        <v>0</v>
      </c>
      <c r="H71" s="86">
        <v>0</v>
      </c>
      <c r="I71" s="86">
        <v>0</v>
      </c>
      <c r="J71" s="86">
        <v>0</v>
      </c>
    </row>
    <row r="72" spans="1:10" hidden="1" x14ac:dyDescent="0.2">
      <c r="A72" s="42" t="s">
        <v>201</v>
      </c>
      <c r="B72" s="42" t="s">
        <v>107</v>
      </c>
      <c r="C72" s="25">
        <v>0.47</v>
      </c>
      <c r="D72" s="25">
        <v>0.5</v>
      </c>
      <c r="E72" s="25">
        <v>0.5</v>
      </c>
      <c r="F72" s="25">
        <v>0.43</v>
      </c>
      <c r="G72" s="73">
        <v>0.45</v>
      </c>
      <c r="H72" s="86">
        <v>0.49</v>
      </c>
      <c r="I72" s="86">
        <v>0.55000000000000004</v>
      </c>
      <c r="J72" s="86">
        <v>0.55000000000000004</v>
      </c>
    </row>
    <row r="73" spans="1:10" hidden="1" x14ac:dyDescent="0.2">
      <c r="A73" s="42" t="s">
        <v>202</v>
      </c>
      <c r="B73" s="42" t="s">
        <v>108</v>
      </c>
      <c r="C73" s="25">
        <v>0.4</v>
      </c>
      <c r="D73" s="25">
        <v>0.47</v>
      </c>
      <c r="E73" s="25">
        <v>0.47</v>
      </c>
      <c r="F73" s="25">
        <v>0</v>
      </c>
      <c r="G73" s="25">
        <v>0.4</v>
      </c>
      <c r="H73" s="86">
        <v>0.13</v>
      </c>
      <c r="I73" s="86">
        <v>0.28999999999999998</v>
      </c>
      <c r="J73" s="86">
        <v>0.49</v>
      </c>
    </row>
    <row r="74" spans="1:10" hidden="1" x14ac:dyDescent="0.2">
      <c r="A74" s="42" t="s">
        <v>203</v>
      </c>
      <c r="B74" s="42" t="s">
        <v>108</v>
      </c>
      <c r="C74" s="25">
        <v>0.4</v>
      </c>
      <c r="D74" s="25">
        <v>0.47</v>
      </c>
      <c r="E74" s="25">
        <v>0.47</v>
      </c>
      <c r="F74" s="25">
        <v>0</v>
      </c>
      <c r="G74" s="73">
        <v>0.4</v>
      </c>
      <c r="H74" s="86">
        <v>0.13</v>
      </c>
      <c r="I74" s="86">
        <v>0.28999999999999998</v>
      </c>
      <c r="J74" s="86">
        <v>0.49</v>
      </c>
    </row>
    <row r="75" spans="1:10" hidden="1" x14ac:dyDescent="0.2">
      <c r="A75" s="42" t="s">
        <v>204</v>
      </c>
      <c r="B75" s="42" t="s">
        <v>108</v>
      </c>
      <c r="C75" s="25">
        <v>0</v>
      </c>
      <c r="D75" s="25">
        <v>0.28000000000000003</v>
      </c>
      <c r="E75" s="25">
        <v>0.47</v>
      </c>
      <c r="F75" s="25">
        <v>0</v>
      </c>
      <c r="G75" s="25">
        <v>0</v>
      </c>
      <c r="H75" s="86">
        <v>0</v>
      </c>
      <c r="I75" s="86">
        <v>0</v>
      </c>
      <c r="J75" s="86">
        <v>0.25</v>
      </c>
    </row>
    <row r="76" spans="1:10" hidden="1" x14ac:dyDescent="0.2">
      <c r="A76" s="42" t="s">
        <v>205</v>
      </c>
      <c r="B76" s="42" t="s">
        <v>108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86">
        <v>0</v>
      </c>
      <c r="I76" s="86">
        <v>0</v>
      </c>
      <c r="J76" s="86">
        <v>0</v>
      </c>
    </row>
  </sheetData>
  <autoFilter ref="A4:J76" xr:uid="{7C860471-3EDD-4BBD-9AE0-7DA738E42020}">
    <filterColumn colId="0">
      <filters>
        <filter val="GOA"/>
        <filter val="MAHARASHTRA - 1 M"/>
        <filter val="MAHARASHTRA - 2 P"/>
        <filter val="MAHARASHTRA - 3 N"/>
        <filter val="MAHARASHTRA - 4 K"/>
        <filter val="MAHARASHTRA - 5 R"/>
        <filter val="MAHARASHTRA - 6 R"/>
      </filters>
    </filterColumn>
  </autoFilter>
  <mergeCells count="4">
    <mergeCell ref="H3:J3"/>
    <mergeCell ref="C2:G2"/>
    <mergeCell ref="C3:E3"/>
    <mergeCell ref="F3:G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0865-E160-4357-9209-44120073864D}">
  <dimension ref="A1:G65"/>
  <sheetViews>
    <sheetView workbookViewId="0">
      <selection sqref="A1:F1"/>
    </sheetView>
  </sheetViews>
  <sheetFormatPr defaultColWidth="9.140625" defaultRowHeight="11.25" x14ac:dyDescent="0.2"/>
  <cols>
    <col min="1" max="1" width="52.5703125" style="9" bestFit="1" customWidth="1"/>
    <col min="2" max="2" width="7" style="9" bestFit="1" customWidth="1"/>
    <col min="3" max="3" width="10" style="9" bestFit="1" customWidth="1"/>
    <col min="4" max="4" width="7" style="9" bestFit="1" customWidth="1"/>
    <col min="5" max="5" width="10" style="9" bestFit="1" customWidth="1"/>
    <col min="6" max="6" width="7" style="9" bestFit="1" customWidth="1"/>
    <col min="7" max="16384" width="9.140625" style="9"/>
  </cols>
  <sheetData>
    <row r="1" spans="1:6" x14ac:dyDescent="0.2">
      <c r="A1" s="100" t="s">
        <v>138</v>
      </c>
      <c r="B1" s="100"/>
      <c r="C1" s="100"/>
      <c r="D1" s="100"/>
      <c r="E1" s="100"/>
      <c r="F1" s="100"/>
    </row>
    <row r="2" spans="1:6" x14ac:dyDescent="0.2">
      <c r="B2" s="101" t="s">
        <v>21</v>
      </c>
      <c r="C2" s="101"/>
      <c r="D2" s="101"/>
      <c r="E2" s="101" t="s">
        <v>22</v>
      </c>
      <c r="F2" s="101"/>
    </row>
    <row r="3" spans="1:6" x14ac:dyDescent="0.2">
      <c r="A3" s="44" t="s">
        <v>0</v>
      </c>
      <c r="B3" s="10" t="s">
        <v>23</v>
      </c>
      <c r="C3" s="10" t="s">
        <v>24</v>
      </c>
      <c r="D3" s="10" t="s">
        <v>25</v>
      </c>
      <c r="E3" s="10" t="s">
        <v>24</v>
      </c>
      <c r="F3" s="10" t="s">
        <v>25</v>
      </c>
    </row>
    <row r="4" spans="1:6" x14ac:dyDescent="0.2">
      <c r="A4" s="36" t="s">
        <v>7</v>
      </c>
      <c r="B4" s="41">
        <v>0</v>
      </c>
      <c r="C4" s="41">
        <v>0.25542441408444372</v>
      </c>
      <c r="D4" s="41">
        <v>0.39500000000000002</v>
      </c>
      <c r="E4" s="41">
        <v>0</v>
      </c>
      <c r="F4" s="41">
        <v>0</v>
      </c>
    </row>
    <row r="5" spans="1:6" x14ac:dyDescent="0.2">
      <c r="A5" s="36" t="s">
        <v>9</v>
      </c>
      <c r="B5" s="41">
        <v>0.37</v>
      </c>
      <c r="C5" s="41">
        <v>0.37</v>
      </c>
      <c r="D5" s="41">
        <v>0.37</v>
      </c>
      <c r="E5" s="41">
        <v>0</v>
      </c>
      <c r="F5" s="41">
        <v>0.36</v>
      </c>
    </row>
    <row r="6" spans="1:6" x14ac:dyDescent="0.2">
      <c r="A6" s="36" t="s">
        <v>10</v>
      </c>
      <c r="B6" s="41">
        <v>0.37</v>
      </c>
      <c r="C6" s="41">
        <v>0.37</v>
      </c>
      <c r="D6" s="41">
        <v>0.37</v>
      </c>
      <c r="E6" s="41">
        <v>0</v>
      </c>
      <c r="F6" s="41">
        <v>0.36</v>
      </c>
    </row>
    <row r="7" spans="1:6" x14ac:dyDescent="0.2">
      <c r="A7" s="36" t="s">
        <v>93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</row>
    <row r="8" spans="1:6" x14ac:dyDescent="0.2">
      <c r="A8" s="36" t="s">
        <v>94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</row>
    <row r="9" spans="1:6" x14ac:dyDescent="0.2">
      <c r="A9" s="36" t="s">
        <v>95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</row>
    <row r="10" spans="1:6" x14ac:dyDescent="0.2">
      <c r="A10" s="36" t="s">
        <v>96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</row>
    <row r="11" spans="1:6" x14ac:dyDescent="0.2">
      <c r="A11" s="36" t="s">
        <v>97</v>
      </c>
      <c r="B11" s="41">
        <v>0.27</v>
      </c>
      <c r="C11" s="41">
        <v>0.5</v>
      </c>
      <c r="D11" s="41">
        <v>0.5</v>
      </c>
      <c r="E11" s="41">
        <v>0</v>
      </c>
      <c r="F11" s="41">
        <v>0.35</v>
      </c>
    </row>
    <row r="12" spans="1:6" x14ac:dyDescent="0.2">
      <c r="A12" s="36" t="s">
        <v>62</v>
      </c>
      <c r="B12" s="41">
        <v>0.14499999999999999</v>
      </c>
      <c r="C12" s="41">
        <v>0.26</v>
      </c>
      <c r="D12" s="41">
        <v>0.51500000000000001</v>
      </c>
      <c r="E12" s="41">
        <v>0</v>
      </c>
      <c r="F12" s="41">
        <v>0.19</v>
      </c>
    </row>
    <row r="13" spans="1:6" x14ac:dyDescent="0.2">
      <c r="A13" s="36" t="s">
        <v>109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</row>
    <row r="14" spans="1:6" x14ac:dyDescent="0.2">
      <c r="A14" s="36" t="s">
        <v>110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</row>
    <row r="15" spans="1:6" x14ac:dyDescent="0.2">
      <c r="A15" s="36" t="s">
        <v>63</v>
      </c>
      <c r="B15" s="41">
        <v>0.36499999999999999</v>
      </c>
      <c r="C15" s="41">
        <v>0.52</v>
      </c>
      <c r="D15" s="41">
        <v>0.5</v>
      </c>
      <c r="E15" s="41">
        <v>0</v>
      </c>
      <c r="F15" s="41">
        <v>0.42</v>
      </c>
    </row>
    <row r="16" spans="1:6" x14ac:dyDescent="0.2">
      <c r="A16" s="36" t="s">
        <v>52</v>
      </c>
      <c r="B16" s="41">
        <v>0.29499999999999998</v>
      </c>
      <c r="C16" s="41">
        <v>0.34</v>
      </c>
      <c r="D16" s="41">
        <v>0.34</v>
      </c>
      <c r="E16" s="41">
        <v>0.24</v>
      </c>
      <c r="F16" s="41">
        <v>0.34</v>
      </c>
    </row>
    <row r="17" spans="1:6" x14ac:dyDescent="0.2">
      <c r="A17" s="36" t="s">
        <v>113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</row>
    <row r="18" spans="1:6" x14ac:dyDescent="0.2">
      <c r="A18" s="36" t="s">
        <v>114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</row>
    <row r="19" spans="1:6" x14ac:dyDescent="0.2">
      <c r="A19" s="36" t="s">
        <v>115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</row>
    <row r="20" spans="1:6" x14ac:dyDescent="0.2">
      <c r="A20" s="36" t="s">
        <v>116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</row>
    <row r="21" spans="1:6" x14ac:dyDescent="0.2">
      <c r="A21" s="36" t="s">
        <v>64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</row>
    <row r="22" spans="1:6" x14ac:dyDescent="0.2">
      <c r="A22" s="36" t="s">
        <v>65</v>
      </c>
      <c r="B22" s="41">
        <v>0</v>
      </c>
      <c r="C22" s="41">
        <v>0</v>
      </c>
      <c r="D22" s="41">
        <v>0.42</v>
      </c>
      <c r="E22" s="41">
        <v>0</v>
      </c>
      <c r="F22" s="41">
        <v>0</v>
      </c>
    </row>
    <row r="23" spans="1:6" x14ac:dyDescent="0.2">
      <c r="A23" s="36" t="s">
        <v>66</v>
      </c>
      <c r="B23" s="41">
        <v>0</v>
      </c>
      <c r="C23" s="41">
        <v>0</v>
      </c>
      <c r="D23" s="41">
        <v>0.19500000000000001</v>
      </c>
      <c r="E23" s="41">
        <v>0</v>
      </c>
      <c r="F23" s="41">
        <v>0</v>
      </c>
    </row>
    <row r="24" spans="1:6" x14ac:dyDescent="0.2">
      <c r="A24" s="36" t="s">
        <v>67</v>
      </c>
      <c r="B24" s="41">
        <v>0</v>
      </c>
      <c r="C24" s="41">
        <v>0.42</v>
      </c>
      <c r="D24" s="41">
        <v>0.52</v>
      </c>
      <c r="E24" s="41">
        <v>0</v>
      </c>
      <c r="F24" s="41">
        <v>0</v>
      </c>
    </row>
    <row r="25" spans="1:6" x14ac:dyDescent="0.2">
      <c r="A25" s="36" t="s">
        <v>68</v>
      </c>
      <c r="B25" s="41">
        <v>0.3</v>
      </c>
      <c r="C25" s="41">
        <v>0.42499999999999999</v>
      </c>
      <c r="D25" s="41">
        <v>0.5</v>
      </c>
      <c r="E25" s="41">
        <v>0</v>
      </c>
      <c r="F25" s="41">
        <v>0.3</v>
      </c>
    </row>
    <row r="26" spans="1:6" x14ac:dyDescent="0.2">
      <c r="A26" s="36" t="s">
        <v>98</v>
      </c>
      <c r="B26" s="41">
        <v>0.34</v>
      </c>
      <c r="C26" s="41">
        <v>0.44</v>
      </c>
      <c r="D26" s="41">
        <v>0.44</v>
      </c>
      <c r="E26" s="41">
        <v>0</v>
      </c>
      <c r="F26" s="41">
        <v>0.32</v>
      </c>
    </row>
    <row r="27" spans="1:6" x14ac:dyDescent="0.2">
      <c r="A27" s="36" t="s">
        <v>11</v>
      </c>
      <c r="B27" s="41">
        <v>0</v>
      </c>
      <c r="C27" s="41">
        <v>0.22500000000000001</v>
      </c>
      <c r="D27" s="41">
        <v>0.41</v>
      </c>
      <c r="E27" s="41">
        <v>0</v>
      </c>
      <c r="F27" s="41">
        <v>0.05</v>
      </c>
    </row>
    <row r="28" spans="1:6" x14ac:dyDescent="0.2">
      <c r="A28" s="36" t="s">
        <v>12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</row>
    <row r="29" spans="1:6" x14ac:dyDescent="0.2">
      <c r="A29" s="36" t="s">
        <v>13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</row>
    <row r="30" spans="1:6" x14ac:dyDescent="0.2">
      <c r="A30" s="36" t="s">
        <v>14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</row>
    <row r="31" spans="1:6" x14ac:dyDescent="0.2">
      <c r="A31" s="36" t="s">
        <v>15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</row>
    <row r="32" spans="1:6" x14ac:dyDescent="0.2">
      <c r="A32" s="36" t="s">
        <v>16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</row>
    <row r="33" spans="1:7" x14ac:dyDescent="0.2">
      <c r="A33" s="36" t="s">
        <v>53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</row>
    <row r="34" spans="1:7" x14ac:dyDescent="0.2">
      <c r="A34" s="36" t="s">
        <v>55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</row>
    <row r="35" spans="1:7" x14ac:dyDescent="0.2">
      <c r="A35" s="36" t="s">
        <v>56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</row>
    <row r="36" spans="1:7" x14ac:dyDescent="0.2">
      <c r="A36" s="36" t="s">
        <v>57</v>
      </c>
      <c r="B36" s="41">
        <v>0.51500000000000001</v>
      </c>
      <c r="C36" s="41">
        <v>0.55000000000000004</v>
      </c>
      <c r="D36" s="41">
        <v>0.53</v>
      </c>
      <c r="E36" s="41">
        <v>0.19500000000000001</v>
      </c>
      <c r="F36" s="41">
        <v>0.51500000000000001</v>
      </c>
    </row>
    <row r="37" spans="1:7" x14ac:dyDescent="0.2">
      <c r="A37" s="36" t="s">
        <v>59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</row>
    <row r="38" spans="1:7" x14ac:dyDescent="0.2">
      <c r="A38" s="36" t="s">
        <v>61</v>
      </c>
      <c r="B38" s="41">
        <v>0.51500000000000001</v>
      </c>
      <c r="C38" s="41">
        <v>0.55000000000000004</v>
      </c>
      <c r="D38" s="41">
        <v>0.53</v>
      </c>
      <c r="E38" s="41">
        <v>0.19500000000000001</v>
      </c>
      <c r="F38" s="41">
        <v>0.51500000000000001</v>
      </c>
    </row>
    <row r="39" spans="1:7" x14ac:dyDescent="0.2">
      <c r="A39" s="36" t="s">
        <v>60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</row>
    <row r="40" spans="1:7" x14ac:dyDescent="0.2">
      <c r="A40" s="36" t="s">
        <v>99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</row>
    <row r="41" spans="1:7" x14ac:dyDescent="0.2">
      <c r="A41" s="36" t="s">
        <v>100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</row>
    <row r="42" spans="1:7" x14ac:dyDescent="0.2">
      <c r="A42" s="36" t="s">
        <v>101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</row>
    <row r="43" spans="1:7" x14ac:dyDescent="0.2">
      <c r="A43" s="36" t="s">
        <v>102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</row>
    <row r="44" spans="1:7" x14ac:dyDescent="0.2">
      <c r="A44" s="36" t="s">
        <v>103</v>
      </c>
      <c r="B44" s="41">
        <v>0</v>
      </c>
      <c r="C44" s="41">
        <v>0</v>
      </c>
      <c r="D44" s="41">
        <v>0.29499999999999998</v>
      </c>
      <c r="E44" s="41">
        <v>0</v>
      </c>
      <c r="F44" s="41">
        <v>0</v>
      </c>
    </row>
    <row r="45" spans="1:7" x14ac:dyDescent="0.2">
      <c r="A45" s="36" t="s">
        <v>104</v>
      </c>
      <c r="B45" s="41">
        <v>0</v>
      </c>
      <c r="C45" s="41">
        <v>0</v>
      </c>
      <c r="D45" s="41">
        <v>0.245</v>
      </c>
      <c r="E45" s="41">
        <v>0</v>
      </c>
      <c r="F45" s="41">
        <v>0</v>
      </c>
    </row>
    <row r="46" spans="1:7" s="39" customFormat="1" x14ac:dyDescent="0.2">
      <c r="A46" s="40" t="s">
        <v>132</v>
      </c>
      <c r="B46" s="41">
        <v>0.23</v>
      </c>
      <c r="C46" s="41">
        <v>0.52</v>
      </c>
      <c r="D46" s="41">
        <v>0.55000000000000004</v>
      </c>
      <c r="E46" s="41">
        <v>0</v>
      </c>
      <c r="F46" s="41">
        <v>0</v>
      </c>
      <c r="G46" s="9"/>
    </row>
    <row r="47" spans="1:7" s="39" customFormat="1" x14ac:dyDescent="0.2">
      <c r="A47" s="40" t="s">
        <v>133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9"/>
    </row>
    <row r="48" spans="1:7" x14ac:dyDescent="0.2">
      <c r="A48" s="36" t="s">
        <v>71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</row>
    <row r="49" spans="1:6" x14ac:dyDescent="0.2">
      <c r="A49" s="36" t="s">
        <v>72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</row>
    <row r="50" spans="1:6" x14ac:dyDescent="0.2">
      <c r="A50" s="36" t="s">
        <v>73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</row>
    <row r="51" spans="1:6" x14ac:dyDescent="0.2">
      <c r="A51" s="36" t="s">
        <v>74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</row>
    <row r="52" spans="1:6" x14ac:dyDescent="0.2">
      <c r="A52" s="36" t="s">
        <v>131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</row>
    <row r="53" spans="1:6" x14ac:dyDescent="0.2">
      <c r="A53" s="36" t="s">
        <v>105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</row>
    <row r="54" spans="1:6" x14ac:dyDescent="0.2">
      <c r="A54" s="36" t="s">
        <v>17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</row>
    <row r="55" spans="1:6" x14ac:dyDescent="0.2">
      <c r="A55" s="36" t="s">
        <v>18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</row>
    <row r="56" spans="1:6" x14ac:dyDescent="0.2">
      <c r="A56" s="36" t="s">
        <v>19</v>
      </c>
      <c r="B56" s="41">
        <v>0</v>
      </c>
      <c r="C56" s="41">
        <v>0.47</v>
      </c>
      <c r="D56" s="41">
        <v>0.44</v>
      </c>
      <c r="E56" s="41">
        <v>0</v>
      </c>
      <c r="F56" s="41">
        <v>0.31</v>
      </c>
    </row>
    <row r="57" spans="1:6" x14ac:dyDescent="0.2">
      <c r="A57" s="36" t="s">
        <v>20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</row>
    <row r="58" spans="1:6" x14ac:dyDescent="0.2">
      <c r="A58" s="36" t="s">
        <v>106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</row>
    <row r="59" spans="1:6" x14ac:dyDescent="0.2">
      <c r="A59" s="36" t="s">
        <v>75</v>
      </c>
      <c r="B59" s="41">
        <v>0.3</v>
      </c>
      <c r="C59" s="41">
        <v>0.42</v>
      </c>
      <c r="D59" s="41">
        <v>0.39</v>
      </c>
      <c r="E59" s="41">
        <v>0</v>
      </c>
      <c r="F59" s="41">
        <v>0.35</v>
      </c>
    </row>
    <row r="60" spans="1:6" x14ac:dyDescent="0.2">
      <c r="A60" s="36" t="s">
        <v>76</v>
      </c>
      <c r="B60" s="41">
        <v>0</v>
      </c>
      <c r="C60" s="41">
        <v>0</v>
      </c>
      <c r="D60" s="41">
        <v>0.15214699176420543</v>
      </c>
      <c r="E60" s="41">
        <v>0</v>
      </c>
      <c r="F60" s="41">
        <v>0</v>
      </c>
    </row>
    <row r="61" spans="1:6" x14ac:dyDescent="0.2">
      <c r="A61" s="36" t="s">
        <v>77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</row>
    <row r="62" spans="1:6" x14ac:dyDescent="0.2">
      <c r="A62" s="36" t="s">
        <v>78</v>
      </c>
      <c r="B62" s="41">
        <v>0.25</v>
      </c>
      <c r="C62" s="41">
        <v>0.4</v>
      </c>
      <c r="D62" s="41">
        <v>0.5</v>
      </c>
      <c r="E62" s="41">
        <v>0</v>
      </c>
      <c r="F62" s="41">
        <v>0.25</v>
      </c>
    </row>
    <row r="63" spans="1:6" x14ac:dyDescent="0.2">
      <c r="A63" s="36" t="s">
        <v>79</v>
      </c>
      <c r="B63" s="41">
        <v>0</v>
      </c>
      <c r="C63" s="41">
        <v>3.1194089847087159E-2</v>
      </c>
      <c r="D63" s="41">
        <v>0.4</v>
      </c>
      <c r="E63" s="41">
        <v>0</v>
      </c>
      <c r="F63" s="41">
        <v>0</v>
      </c>
    </row>
    <row r="64" spans="1:6" x14ac:dyDescent="0.2">
      <c r="A64" s="36" t="s">
        <v>107</v>
      </c>
      <c r="B64" s="41">
        <v>0.45</v>
      </c>
      <c r="C64" s="41">
        <v>0.45</v>
      </c>
      <c r="D64" s="41">
        <v>0.45</v>
      </c>
      <c r="E64" s="41">
        <v>0.43</v>
      </c>
      <c r="F64" s="41">
        <v>0.43</v>
      </c>
    </row>
    <row r="65" spans="1:6" x14ac:dyDescent="0.2">
      <c r="A65" s="36" t="s">
        <v>108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</row>
  </sheetData>
  <mergeCells count="3">
    <mergeCell ref="A1:F1"/>
    <mergeCell ref="B2:D2"/>
    <mergeCell ref="E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6D0C-CD98-4C74-B1E6-94AE025FC597}">
  <dimension ref="A1:G42"/>
  <sheetViews>
    <sheetView topLeftCell="A17" workbookViewId="0">
      <selection activeCell="G42" sqref="G42"/>
    </sheetView>
  </sheetViews>
  <sheetFormatPr defaultColWidth="8.7109375" defaultRowHeight="11.25" x14ac:dyDescent="0.2"/>
  <cols>
    <col min="1" max="1" width="52.42578125" style="9" bestFit="1" customWidth="1"/>
    <col min="2" max="2" width="7" style="9" bestFit="1" customWidth="1"/>
    <col min="3" max="3" width="10" style="9" bestFit="1" customWidth="1"/>
    <col min="4" max="4" width="7" style="9" bestFit="1" customWidth="1"/>
    <col min="5" max="5" width="10" style="9" bestFit="1" customWidth="1"/>
    <col min="6" max="6" width="7" style="9" bestFit="1" customWidth="1"/>
    <col min="7" max="16384" width="8.7109375" style="9"/>
  </cols>
  <sheetData>
    <row r="1" spans="1:7" x14ac:dyDescent="0.2">
      <c r="A1" s="100" t="s">
        <v>118</v>
      </c>
      <c r="B1" s="100"/>
      <c r="C1" s="100"/>
      <c r="D1" s="100"/>
      <c r="E1" s="100"/>
      <c r="F1" s="100"/>
    </row>
    <row r="2" spans="1:7" x14ac:dyDescent="0.2">
      <c r="A2" s="103" t="s">
        <v>0</v>
      </c>
      <c r="B2" s="101" t="s">
        <v>21</v>
      </c>
      <c r="C2" s="101"/>
      <c r="D2" s="101"/>
      <c r="E2" s="101" t="s">
        <v>22</v>
      </c>
      <c r="F2" s="101"/>
    </row>
    <row r="3" spans="1:7" x14ac:dyDescent="0.2">
      <c r="A3" s="104"/>
      <c r="B3" s="10" t="s">
        <v>23</v>
      </c>
      <c r="C3" s="10" t="s">
        <v>24</v>
      </c>
      <c r="D3" s="10" t="s">
        <v>25</v>
      </c>
      <c r="E3" s="10" t="s">
        <v>24</v>
      </c>
      <c r="F3" s="10" t="s">
        <v>25</v>
      </c>
    </row>
    <row r="4" spans="1:7" x14ac:dyDescent="0.2">
      <c r="A4" s="15" t="s">
        <v>63</v>
      </c>
      <c r="B4" s="23">
        <v>0.36499999999999999</v>
      </c>
      <c r="C4" s="23">
        <v>0.48499999999999999</v>
      </c>
      <c r="D4" s="23">
        <v>0.44</v>
      </c>
      <c r="E4" s="23">
        <v>0</v>
      </c>
      <c r="F4" s="23">
        <v>0.42</v>
      </c>
      <c r="G4" s="9" t="str">
        <f>VLOOKUP(A4,PCTP_R!$A$4:$A$65,1,0)</f>
        <v>DELHI - NCR</v>
      </c>
    </row>
    <row r="5" spans="1:7" x14ac:dyDescent="0.2">
      <c r="A5" s="15" t="s">
        <v>75</v>
      </c>
      <c r="B5" s="6">
        <v>0.41</v>
      </c>
      <c r="C5" s="23">
        <v>0.42</v>
      </c>
      <c r="D5" s="23">
        <v>0.39</v>
      </c>
      <c r="E5" s="23">
        <v>0</v>
      </c>
      <c r="F5" s="23">
        <v>0.4</v>
      </c>
      <c r="G5" s="9" t="str">
        <f>VLOOKUP(A5,PCTP_R!$A$4:$A$65,1,0)</f>
        <v>UTTAR PRADESH - LUCKNOW, ALLAHABAD, GORAKHPUR, KANPUR &amp; VARANASI</v>
      </c>
    </row>
    <row r="6" spans="1:7" x14ac:dyDescent="0.2">
      <c r="A6" s="15" t="s">
        <v>11</v>
      </c>
      <c r="B6" s="23">
        <v>0</v>
      </c>
      <c r="C6" s="23">
        <v>0.41</v>
      </c>
      <c r="D6" s="23">
        <v>0.41</v>
      </c>
      <c r="E6" s="23">
        <v>0</v>
      </c>
      <c r="F6" s="23">
        <v>0.38</v>
      </c>
      <c r="G6" s="9" t="str">
        <f>VLOOKUP(A6,PCTP_R!$A$4:$A$65,1,0)</f>
        <v>KARNATAKA - BANGALORE</v>
      </c>
    </row>
    <row r="7" spans="1:7" x14ac:dyDescent="0.2">
      <c r="A7" s="15" t="s">
        <v>68</v>
      </c>
      <c r="B7" s="23">
        <v>0.36</v>
      </c>
      <c r="C7" s="23">
        <v>0.5</v>
      </c>
      <c r="D7" s="23">
        <v>0.5</v>
      </c>
      <c r="E7" s="23">
        <v>0</v>
      </c>
      <c r="F7" s="23">
        <v>0.4</v>
      </c>
      <c r="G7" s="9" t="str">
        <f>VLOOKUP(A7,PCTP_R!$A$4:$A$65,1,0)</f>
        <v>JAMMU &amp; KASHMIR - REST</v>
      </c>
    </row>
    <row r="8" spans="1:7" x14ac:dyDescent="0.2">
      <c r="A8" s="15" t="s">
        <v>57</v>
      </c>
      <c r="B8" s="23">
        <v>0.51500000000000001</v>
      </c>
      <c r="C8" s="23">
        <v>0.53</v>
      </c>
      <c r="D8" s="23">
        <v>0.53</v>
      </c>
      <c r="E8" s="23">
        <v>0.19500000000000001</v>
      </c>
      <c r="F8" s="23">
        <v>0.51500000000000001</v>
      </c>
      <c r="G8" s="9" t="str">
        <f>VLOOKUP(A8,PCTP_R!$A$4:$A$65,1,0)</f>
        <v>MAHARASHTRA - MUMBAI</v>
      </c>
    </row>
    <row r="9" spans="1:7" x14ac:dyDescent="0.2">
      <c r="A9" s="15" t="s">
        <v>78</v>
      </c>
      <c r="B9" s="23">
        <v>0.4</v>
      </c>
      <c r="C9" s="24">
        <v>0.5</v>
      </c>
      <c r="D9" s="23">
        <v>0.47</v>
      </c>
      <c r="E9" s="23">
        <v>0.245</v>
      </c>
      <c r="F9" s="23">
        <v>0.4</v>
      </c>
      <c r="G9" s="9" t="str">
        <f>VLOOKUP(A9,PCTP_R!$A$4:$A$65,1,0)</f>
        <v>UTTARAKHAND - DEHRADUN</v>
      </c>
    </row>
    <row r="10" spans="1:7" x14ac:dyDescent="0.2">
      <c r="A10" s="15" t="s">
        <v>70</v>
      </c>
      <c r="B10" s="23">
        <v>0.23</v>
      </c>
      <c r="C10" s="24">
        <v>0.5</v>
      </c>
      <c r="D10" s="23">
        <v>0.45</v>
      </c>
      <c r="E10" s="23">
        <v>0</v>
      </c>
      <c r="F10" s="23">
        <v>0</v>
      </c>
      <c r="G10" s="9" t="e">
        <f>VLOOKUP(A10,PCTP_R!$A$4:$A$65,1,0)</f>
        <v>#N/A</v>
      </c>
    </row>
    <row r="11" spans="1:7" x14ac:dyDescent="0.2">
      <c r="A11" s="15" t="s">
        <v>61</v>
      </c>
      <c r="B11" s="23">
        <v>0.51500000000000001</v>
      </c>
      <c r="C11" s="23">
        <v>0.53</v>
      </c>
      <c r="D11" s="23">
        <v>0.53</v>
      </c>
      <c r="E11" s="23">
        <v>0.19500000000000001</v>
      </c>
      <c r="F11" s="23">
        <v>0.51500000000000001</v>
      </c>
      <c r="G11" s="9" t="str">
        <f>VLOOKUP(A11,PCTP_R!$A$4:$A$65,1,0)</f>
        <v>MAHARASHTRA - PUNE</v>
      </c>
    </row>
    <row r="12" spans="1:7" x14ac:dyDescent="0.2">
      <c r="A12" s="15" t="s">
        <v>19</v>
      </c>
      <c r="B12" s="23">
        <v>0</v>
      </c>
      <c r="C12" s="23">
        <v>0.41499999999999998</v>
      </c>
      <c r="D12" s="23">
        <v>0.44</v>
      </c>
      <c r="E12" s="23">
        <v>0</v>
      </c>
      <c r="F12" s="23">
        <v>0.19500000000000001</v>
      </c>
      <c r="G12" s="9" t="str">
        <f>VLOOKUP(A12,PCTP_R!$A$4:$A$65,1,0)</f>
        <v>TELANGANA - HYDERABAD &amp; SURRONDING</v>
      </c>
    </row>
    <row r="13" spans="1:7" x14ac:dyDescent="0.2">
      <c r="A13" s="15" t="s">
        <v>69</v>
      </c>
      <c r="B13" s="23">
        <v>0.23</v>
      </c>
      <c r="C13" s="24">
        <v>0.5</v>
      </c>
      <c r="D13" s="23">
        <v>0.45</v>
      </c>
      <c r="E13" s="23">
        <v>0</v>
      </c>
      <c r="F13" s="23">
        <v>0</v>
      </c>
      <c r="G13" s="9" t="e">
        <f>VLOOKUP(A13,PCTP_R!$A$4:$A$65,1,0)</f>
        <v>#N/A</v>
      </c>
    </row>
    <row r="14" spans="1:7" x14ac:dyDescent="0.2">
      <c r="A14" s="15" t="s">
        <v>107</v>
      </c>
      <c r="B14" s="23">
        <v>0.38500000000000001</v>
      </c>
      <c r="C14" s="23">
        <v>0.435</v>
      </c>
      <c r="D14" s="23">
        <v>0.435</v>
      </c>
      <c r="E14" s="23">
        <v>0.29499999999999998</v>
      </c>
      <c r="F14" s="23">
        <v>0.40500000000000003</v>
      </c>
      <c r="G14" s="9" t="str">
        <f>VLOOKUP(A14,PCTP_R!$A$4:$A$65,1,0)</f>
        <v>WEST BENGAL - KOLKATA</v>
      </c>
    </row>
    <row r="15" spans="1:7" x14ac:dyDescent="0.2">
      <c r="A15" s="15" t="s">
        <v>76</v>
      </c>
      <c r="B15" s="23">
        <v>0</v>
      </c>
      <c r="C15" s="23">
        <v>0</v>
      </c>
      <c r="D15" s="23">
        <v>0.19500000000000001</v>
      </c>
      <c r="E15" s="23">
        <v>0</v>
      </c>
      <c r="F15" s="23">
        <v>0</v>
      </c>
      <c r="G15" s="9" t="str">
        <f>VLOOKUP(A15,PCTP_R!$A$4:$A$65,1,0)</f>
        <v>UTTAR PRADESH - REST</v>
      </c>
    </row>
    <row r="16" spans="1:7" x14ac:dyDescent="0.2">
      <c r="A16" s="15" t="s">
        <v>7</v>
      </c>
      <c r="B16" s="23">
        <v>0</v>
      </c>
      <c r="C16" s="23">
        <v>0.39500000000000002</v>
      </c>
      <c r="D16" s="23">
        <v>0.39500000000000002</v>
      </c>
      <c r="E16" s="23">
        <v>0</v>
      </c>
      <c r="F16" s="23">
        <v>0</v>
      </c>
      <c r="G16" s="9" t="str">
        <f>VLOOKUP(A16,PCTP_R!$A$4:$A$65,1,0)</f>
        <v>ANDHRA PRADESH - KRISHNA(VIJAYWADA)</v>
      </c>
    </row>
    <row r="17" spans="1:7" x14ac:dyDescent="0.2">
      <c r="A17" s="15" t="s">
        <v>79</v>
      </c>
      <c r="B17" s="23">
        <v>0</v>
      </c>
      <c r="C17" s="23">
        <v>0.20499999999999999</v>
      </c>
      <c r="D17" s="23">
        <v>0.33500000000000002</v>
      </c>
      <c r="E17" s="23">
        <v>0</v>
      </c>
      <c r="F17" s="23">
        <v>0</v>
      </c>
      <c r="G17" s="9" t="str">
        <f>VLOOKUP(A17,PCTP_R!$A$4:$A$65,1,0)</f>
        <v>UTTARAKHAND - REST</v>
      </c>
    </row>
    <row r="18" spans="1:7" x14ac:dyDescent="0.2">
      <c r="A18" s="15" t="s">
        <v>20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9" t="str">
        <f>VLOOKUP(A18,PCTP_R!$A$4:$A$65,1,0)</f>
        <v>TELANGANA - REST</v>
      </c>
    </row>
    <row r="19" spans="1:7" x14ac:dyDescent="0.2">
      <c r="A19" s="15" t="s">
        <v>98</v>
      </c>
      <c r="B19" s="23">
        <v>0.14499999999999999</v>
      </c>
      <c r="C19" s="23">
        <v>0.28000000000000003</v>
      </c>
      <c r="D19" s="23">
        <v>0.4</v>
      </c>
      <c r="E19" s="23">
        <v>0</v>
      </c>
      <c r="F19" s="23">
        <v>0.14499999999999999</v>
      </c>
      <c r="G19" s="9" t="str">
        <f>VLOOKUP(A19,PCTP_R!$A$4:$A$65,1,0)</f>
        <v>JHARKHAND</v>
      </c>
    </row>
    <row r="20" spans="1:7" x14ac:dyDescent="0.2">
      <c r="A20" s="15" t="s">
        <v>66</v>
      </c>
      <c r="B20" s="23">
        <v>0</v>
      </c>
      <c r="C20" s="23">
        <v>0</v>
      </c>
      <c r="D20" s="23">
        <v>0.19500000000000001</v>
      </c>
      <c r="E20" s="23">
        <v>0</v>
      </c>
      <c r="F20" s="23">
        <v>0</v>
      </c>
      <c r="G20" s="9" t="str">
        <f>VLOOKUP(A20,PCTP_R!$A$4:$A$65,1,0)</f>
        <v>HIMACHAL PRADESH - REST</v>
      </c>
    </row>
    <row r="21" spans="1:7" x14ac:dyDescent="0.2">
      <c r="A21" s="15" t="s">
        <v>52</v>
      </c>
      <c r="B21" s="23">
        <v>0.29499999999999998</v>
      </c>
      <c r="C21" s="23">
        <v>0.34</v>
      </c>
      <c r="D21" s="23">
        <v>0.34</v>
      </c>
      <c r="E21" s="23">
        <v>0.24</v>
      </c>
      <c r="F21" s="23">
        <v>0.34</v>
      </c>
      <c r="G21" s="9" t="str">
        <f>VLOOKUP(A21,PCTP_R!$A$4:$A$65,1,0)</f>
        <v>GOA</v>
      </c>
    </row>
    <row r="22" spans="1:7" x14ac:dyDescent="0.2">
      <c r="A22" s="15" t="s">
        <v>108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9" t="str">
        <f>VLOOKUP(A22,PCTP_R!$A$4:$A$65,1,0)</f>
        <v>WEST BENGAL - REST</v>
      </c>
    </row>
    <row r="23" spans="1:7" x14ac:dyDescent="0.2">
      <c r="A23" s="15" t="s">
        <v>62</v>
      </c>
      <c r="B23" s="23">
        <v>0.14499999999999999</v>
      </c>
      <c r="C23" s="23">
        <v>0.26</v>
      </c>
      <c r="D23" s="23">
        <v>0.41</v>
      </c>
      <c r="E23" s="23">
        <v>0</v>
      </c>
      <c r="F23" s="23">
        <v>0.18</v>
      </c>
      <c r="G23" s="9" t="str">
        <f>VLOOKUP(A23,PCTP_R!$A$4:$A$65,1,0)</f>
        <v>CHANDIGARH(TRICITY)</v>
      </c>
    </row>
    <row r="24" spans="1:7" x14ac:dyDescent="0.2">
      <c r="A24" s="15" t="s">
        <v>67</v>
      </c>
      <c r="B24" s="23">
        <v>0</v>
      </c>
      <c r="C24" s="23">
        <v>0</v>
      </c>
      <c r="D24" s="23">
        <v>0.28000000000000003</v>
      </c>
      <c r="E24" s="23">
        <v>0</v>
      </c>
      <c r="F24" s="23">
        <v>0</v>
      </c>
      <c r="G24" s="9" t="str">
        <f>VLOOKUP(A24,PCTP_R!$A$4:$A$65,1,0)</f>
        <v>JAMMU &amp; KASHMIR - JAMMU</v>
      </c>
    </row>
    <row r="25" spans="1:7" x14ac:dyDescent="0.2">
      <c r="A25" s="15" t="s">
        <v>105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9" t="str">
        <f>VLOOKUP(A25,PCTP_R!$A$4:$A$65,1,0)</f>
        <v>SIKKIM</v>
      </c>
    </row>
    <row r="26" spans="1:7" x14ac:dyDescent="0.2">
      <c r="A26" s="15" t="s">
        <v>106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9" t="str">
        <f>VLOOKUP(A26,PCTP_R!$A$4:$A$65,1,0)</f>
        <v>TRIPURA</v>
      </c>
    </row>
    <row r="27" spans="1:7" x14ac:dyDescent="0.2">
      <c r="A27" s="15" t="s">
        <v>100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9" t="str">
        <f>VLOOKUP(A27,PCTP_R!$A$4:$A$65,1,0)</f>
        <v>MEGHALAYA</v>
      </c>
    </row>
    <row r="28" spans="1:7" x14ac:dyDescent="0.2">
      <c r="A28" s="15" t="s">
        <v>9</v>
      </c>
      <c r="B28" s="23">
        <v>0</v>
      </c>
      <c r="C28" s="23">
        <v>0.38500000000000001</v>
      </c>
      <c r="D28" s="23">
        <v>0.38500000000000001</v>
      </c>
      <c r="E28" s="23">
        <v>0</v>
      </c>
      <c r="F28" s="23">
        <v>0</v>
      </c>
      <c r="G28" s="9" t="str">
        <f>VLOOKUP(A28,PCTP_R!$A$4:$A$65,1,0)</f>
        <v>ANDHRA PRADESH - REST</v>
      </c>
    </row>
    <row r="29" spans="1:7" x14ac:dyDescent="0.2">
      <c r="A29" s="15" t="s">
        <v>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9" t="str">
        <f>VLOOKUP(A29,PCTP_R!$A$4:$A$65,1,0)</f>
        <v>ANDHRA PRADESH - VISAKHAPATNAM</v>
      </c>
    </row>
    <row r="30" spans="1:7" x14ac:dyDescent="0.2">
      <c r="A30" s="15" t="s">
        <v>12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9" t="str">
        <f>VLOOKUP(A30,PCTP_R!$A$4:$A$65,1,0)</f>
        <v>KARNATAKA - BANGALORE SURROUNDING</v>
      </c>
    </row>
    <row r="31" spans="1:7" x14ac:dyDescent="0.2">
      <c r="A31" s="15" t="s">
        <v>13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9" t="str">
        <f>VLOOKUP(A31,PCTP_R!$A$4:$A$65,1,0)</f>
        <v>KARNATAKA - REST</v>
      </c>
    </row>
    <row r="32" spans="1:7" x14ac:dyDescent="0.2">
      <c r="A32" s="15" t="s">
        <v>65</v>
      </c>
      <c r="B32" s="23">
        <v>0</v>
      </c>
      <c r="C32" s="23">
        <v>0</v>
      </c>
      <c r="D32" s="23">
        <v>0.28000000000000003</v>
      </c>
      <c r="E32" s="23">
        <v>0</v>
      </c>
      <c r="F32" s="23">
        <v>0</v>
      </c>
      <c r="G32" s="9" t="str">
        <f>VLOOKUP(A32,PCTP_R!$A$4:$A$65,1,0)</f>
        <v>HIMACHAL PRADESH - BILASPUR, MANDI, SOLAN, SHIMLA &amp; MANALI</v>
      </c>
    </row>
    <row r="33" spans="1:7" x14ac:dyDescent="0.2">
      <c r="A33" s="15" t="s">
        <v>77</v>
      </c>
      <c r="B33" s="23">
        <v>0</v>
      </c>
      <c r="C33" s="23">
        <v>0</v>
      </c>
      <c r="D33" s="23">
        <v>0.19500000000000001</v>
      </c>
      <c r="E33" s="23">
        <v>0</v>
      </c>
      <c r="F33" s="23">
        <v>0</v>
      </c>
      <c r="G33" s="9" t="str">
        <f>VLOOKUP(A33,PCTP_R!$A$4:$A$65,1,0)</f>
        <v>UTTAR PRADESH - WEST</v>
      </c>
    </row>
    <row r="34" spans="1:7" x14ac:dyDescent="0.2">
      <c r="A34" s="15" t="s">
        <v>97</v>
      </c>
      <c r="B34" s="23">
        <v>0.27</v>
      </c>
      <c r="C34" s="23">
        <v>0.2</v>
      </c>
      <c r="D34" s="23">
        <v>0.42</v>
      </c>
      <c r="E34" s="23">
        <v>0</v>
      </c>
      <c r="F34" s="23">
        <v>0.22</v>
      </c>
      <c r="G34" s="9" t="str">
        <f>VLOOKUP(A34,PCTP_R!$A$4:$A$65,1,0)</f>
        <v>BIHAR</v>
      </c>
    </row>
    <row r="35" spans="1:7" x14ac:dyDescent="0.2">
      <c r="A35" s="15" t="s">
        <v>103</v>
      </c>
      <c r="B35" s="23">
        <v>0</v>
      </c>
      <c r="C35" s="23">
        <v>0</v>
      </c>
      <c r="D35" s="23">
        <v>0.29499999999999998</v>
      </c>
      <c r="E35" s="23">
        <v>0</v>
      </c>
      <c r="F35" s="23">
        <v>0</v>
      </c>
      <c r="G35" s="9" t="str">
        <f>VLOOKUP(A35,PCTP_R!$A$4:$A$65,1,0)</f>
        <v>ODISHA - BHUBANESHWAR</v>
      </c>
    </row>
    <row r="36" spans="1:7" x14ac:dyDescent="0.2">
      <c r="A36" s="15" t="s">
        <v>104</v>
      </c>
      <c r="B36" s="23">
        <v>0</v>
      </c>
      <c r="C36" s="23">
        <v>0</v>
      </c>
      <c r="D36" s="23">
        <v>0.245</v>
      </c>
      <c r="E36" s="23">
        <v>0</v>
      </c>
      <c r="F36" s="23">
        <v>0</v>
      </c>
      <c r="G36" s="9" t="str">
        <f>VLOOKUP(A36,PCTP_R!$A$4:$A$65,1,0)</f>
        <v>ODISHA - REST</v>
      </c>
    </row>
    <row r="37" spans="1:7" x14ac:dyDescent="0.2">
      <c r="A37" s="15" t="s">
        <v>94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9" t="str">
        <f>VLOOKUP(A37,PCTP_R!$A$4:$A$65,1,0)</f>
        <v>ASSAM - KAMRUP (GUWAHATI)</v>
      </c>
    </row>
    <row r="38" spans="1:7" x14ac:dyDescent="0.2">
      <c r="A38" s="15" t="s">
        <v>95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9" t="str">
        <f>VLOOKUP(A38,PCTP_R!$A$4:$A$65,1,0)</f>
        <v>ASSAM - LOWER</v>
      </c>
    </row>
    <row r="39" spans="1:7" x14ac:dyDescent="0.2">
      <c r="A39" s="15" t="s">
        <v>96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9" t="str">
        <f>VLOOKUP(A39,PCTP_R!$A$4:$A$65,1,0)</f>
        <v>ASSAM - UPPER</v>
      </c>
    </row>
    <row r="40" spans="1:7" x14ac:dyDescent="0.2">
      <c r="A40" s="15" t="s">
        <v>99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9" t="str">
        <f>VLOOKUP(A40,PCTP_R!$A$4:$A$65,1,0)</f>
        <v>MANIPUR</v>
      </c>
    </row>
    <row r="41" spans="1:7" x14ac:dyDescent="0.2">
      <c r="A41" s="15" t="s">
        <v>101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9" t="str">
        <f>VLOOKUP(A41,PCTP_R!$A$4:$A$65,1,0)</f>
        <v>MIZORAM</v>
      </c>
    </row>
    <row r="42" spans="1:7" x14ac:dyDescent="0.2">
      <c r="A42" s="15" t="s">
        <v>102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9" t="str">
        <f>VLOOKUP(A42,PCTP_R!$A$4:$A$65,1,0)</f>
        <v>NAGALAND</v>
      </c>
    </row>
  </sheetData>
  <autoFilter ref="A2:G3" xr:uid="{23E86D0C-CD98-4C74-B1E6-94AE025FC597}">
    <filterColumn colId="1" showButton="0"/>
    <filterColumn colId="2" showButton="0"/>
    <filterColumn colId="4" showButton="0"/>
  </autoFilter>
  <mergeCells count="4">
    <mergeCell ref="A1:F1"/>
    <mergeCell ref="A2:A3"/>
    <mergeCell ref="B2:D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8892-FA88-4D1C-8DB6-C757F1FF5490}">
  <sheetPr filterMode="1"/>
  <dimension ref="A1:E59"/>
  <sheetViews>
    <sheetView topLeftCell="A12" workbookViewId="0">
      <selection activeCell="B9" sqref="B9"/>
    </sheetView>
  </sheetViews>
  <sheetFormatPr defaultColWidth="9.140625" defaultRowHeight="11.25" x14ac:dyDescent="0.2"/>
  <cols>
    <col min="1" max="1" width="52.42578125" style="8" bestFit="1" customWidth="1"/>
    <col min="2" max="2" width="6.7109375" style="8" bestFit="1" customWidth="1"/>
    <col min="3" max="3" width="7.7109375" style="8" bestFit="1" customWidth="1"/>
    <col min="4" max="4" width="3.85546875" style="8" bestFit="1" customWidth="1"/>
    <col min="5" max="16384" width="9.140625" style="8"/>
  </cols>
  <sheetData>
    <row r="1" spans="1:5" x14ac:dyDescent="0.2">
      <c r="A1" s="105" t="s">
        <v>119</v>
      </c>
      <c r="B1" s="105"/>
      <c r="C1" s="105"/>
      <c r="D1" s="105"/>
    </row>
    <row r="2" spans="1:5" ht="33.75" x14ac:dyDescent="0.2">
      <c r="A2" s="1" t="s">
        <v>0</v>
      </c>
      <c r="B2" s="1" t="s">
        <v>26</v>
      </c>
      <c r="C2" s="1" t="s">
        <v>27</v>
      </c>
      <c r="D2" s="1" t="s">
        <v>28</v>
      </c>
    </row>
    <row r="3" spans="1:5" hidden="1" x14ac:dyDescent="0.2">
      <c r="A3" s="13" t="s">
        <v>7</v>
      </c>
      <c r="B3" s="14" t="s">
        <v>29</v>
      </c>
      <c r="C3" s="5">
        <v>0.23499999999999999</v>
      </c>
      <c r="D3" s="5">
        <v>2.5000000000000001E-2</v>
      </c>
      <c r="E3" s="8" t="str">
        <f>VLOOKUP(A3,'TW Comp_R'!$A$3:$A$64,1,0)</f>
        <v>ANDHRA PRADESH - KRISHNA(VIJAYWADA)</v>
      </c>
    </row>
    <row r="4" spans="1:5" hidden="1" x14ac:dyDescent="0.2">
      <c r="A4" s="13" t="s">
        <v>9</v>
      </c>
      <c r="B4" s="14" t="s">
        <v>29</v>
      </c>
      <c r="C4" s="5">
        <v>0.25</v>
      </c>
      <c r="D4" s="5">
        <v>2.5000000000000001E-2</v>
      </c>
      <c r="E4" s="8" t="str">
        <f>VLOOKUP(A4,'TW Comp_R'!$A$3:$A$64,1,0)</f>
        <v>ANDHRA PRADESH - REST</v>
      </c>
    </row>
    <row r="5" spans="1:5" hidden="1" x14ac:dyDescent="0.2">
      <c r="A5" s="13" t="s">
        <v>10</v>
      </c>
      <c r="B5" s="14" t="s">
        <v>29</v>
      </c>
      <c r="C5" s="5">
        <v>0.25</v>
      </c>
      <c r="D5" s="5">
        <v>2.5000000000000001E-2</v>
      </c>
      <c r="E5" s="8" t="str">
        <f>VLOOKUP(A5,'TW Comp_R'!$A$3:$A$64,1,0)</f>
        <v>ANDHRA PRADESH - VISAKHAPATNAM</v>
      </c>
    </row>
    <row r="6" spans="1:5" hidden="1" x14ac:dyDescent="0.2">
      <c r="A6" s="13" t="s">
        <v>11</v>
      </c>
      <c r="B6" s="14" t="s">
        <v>29</v>
      </c>
      <c r="C6" s="5">
        <v>0.3</v>
      </c>
      <c r="D6" s="5">
        <v>2.5000000000000001E-2</v>
      </c>
      <c r="E6" s="8" t="str">
        <f>VLOOKUP(A6,'TW Comp_R'!$A$3:$A$64,1,0)</f>
        <v>KARNATAKA - BANGALORE</v>
      </c>
    </row>
    <row r="7" spans="1:5" hidden="1" x14ac:dyDescent="0.2">
      <c r="A7" s="13" t="s">
        <v>19</v>
      </c>
      <c r="B7" s="14" t="s">
        <v>29</v>
      </c>
      <c r="C7" s="5">
        <v>0.23499999999999999</v>
      </c>
      <c r="D7" s="5">
        <v>2.5000000000000001E-2</v>
      </c>
      <c r="E7" s="8" t="str">
        <f>VLOOKUP(A7,'TW Comp_R'!$A$3:$A$64,1,0)</f>
        <v>TELANGANA - HYDERABAD &amp; SURRONDING</v>
      </c>
    </row>
    <row r="8" spans="1:5" hidden="1" x14ac:dyDescent="0.2">
      <c r="A8" s="13" t="s">
        <v>20</v>
      </c>
      <c r="B8" s="14" t="s">
        <v>29</v>
      </c>
      <c r="C8" s="5">
        <v>0.255</v>
      </c>
      <c r="D8" s="5">
        <v>2.5000000000000001E-2</v>
      </c>
      <c r="E8" s="8" t="str">
        <f>VLOOKUP(A8,'TW Comp_R'!$A$3:$A$64,1,0)</f>
        <v>TELANGANA - REST</v>
      </c>
    </row>
    <row r="9" spans="1:5" x14ac:dyDescent="0.2">
      <c r="A9" s="15" t="s">
        <v>11</v>
      </c>
      <c r="B9" s="16" t="s">
        <v>30</v>
      </c>
      <c r="C9" s="6">
        <v>0.52</v>
      </c>
      <c r="D9" s="6">
        <v>2.5000000000000001E-2</v>
      </c>
      <c r="E9" s="8" t="str">
        <f>VLOOKUP(A9,'TW Comp_R'!$A$65:$A$126,1,0)</f>
        <v>KARNATAKA - BANGALORE</v>
      </c>
    </row>
    <row r="10" spans="1:5" x14ac:dyDescent="0.2">
      <c r="A10" s="15" t="s">
        <v>75</v>
      </c>
      <c r="B10" s="16" t="s">
        <v>30</v>
      </c>
      <c r="C10" s="6">
        <v>0.5</v>
      </c>
      <c r="D10" s="6">
        <v>2.5000000000000001E-2</v>
      </c>
      <c r="E10" s="8" t="str">
        <f>VLOOKUP(A10,'TW Comp_R'!$A$65:$A$126,1,0)</f>
        <v>UTTAR PRADESH - LUCKNOW, ALLAHABAD, GORAKHPUR, KANPUR &amp; VARANASI</v>
      </c>
    </row>
    <row r="11" spans="1:5" x14ac:dyDescent="0.2">
      <c r="A11" s="15" t="s">
        <v>20</v>
      </c>
      <c r="B11" s="16" t="s">
        <v>30</v>
      </c>
      <c r="C11" s="6">
        <v>0.45</v>
      </c>
      <c r="D11" s="6">
        <v>2.5000000000000001E-2</v>
      </c>
      <c r="E11" s="8" t="str">
        <f>VLOOKUP(A11,'TW Comp_R'!$A$65:$A$126,1,0)</f>
        <v>TELANGANA - REST</v>
      </c>
    </row>
    <row r="12" spans="1:5" x14ac:dyDescent="0.2">
      <c r="A12" s="15" t="s">
        <v>97</v>
      </c>
      <c r="B12" s="16" t="s">
        <v>30</v>
      </c>
      <c r="C12" s="6">
        <v>0.42</v>
      </c>
      <c r="D12" s="6">
        <v>2.5000000000000001E-2</v>
      </c>
      <c r="E12" s="8" t="str">
        <f>VLOOKUP(A12,'TW Comp_R'!$A$65:$A$126,1,0)</f>
        <v>BIHAR</v>
      </c>
    </row>
    <row r="13" spans="1:5" x14ac:dyDescent="0.2">
      <c r="A13" s="15" t="s">
        <v>62</v>
      </c>
      <c r="B13" s="16" t="s">
        <v>30</v>
      </c>
      <c r="C13" s="6">
        <v>0.53</v>
      </c>
      <c r="D13" s="6">
        <v>2.5000000000000001E-2</v>
      </c>
      <c r="E13" s="8" t="str">
        <f>VLOOKUP(A13,'TW Comp_R'!$A$65:$A$126,1,0)</f>
        <v>CHANDIGARH(TRICITY)</v>
      </c>
    </row>
    <row r="14" spans="1:5" x14ac:dyDescent="0.2">
      <c r="A14" s="15" t="s">
        <v>98</v>
      </c>
      <c r="B14" s="16" t="s">
        <v>30</v>
      </c>
      <c r="C14" s="6">
        <v>0.375</v>
      </c>
      <c r="D14" s="6">
        <v>2.5000000000000001E-2</v>
      </c>
      <c r="E14" s="8" t="str">
        <f>VLOOKUP(A14,'TW Comp_R'!$A$65:$A$126,1,0)</f>
        <v>JHARKHAND</v>
      </c>
    </row>
    <row r="15" spans="1:5" hidden="1" x14ac:dyDescent="0.2">
      <c r="A15" s="13" t="s">
        <v>62</v>
      </c>
      <c r="B15" s="14" t="s">
        <v>29</v>
      </c>
      <c r="C15" s="5">
        <v>0.35</v>
      </c>
      <c r="D15" s="5">
        <v>2.5000000000000001E-2</v>
      </c>
      <c r="E15" s="8" t="str">
        <f>VLOOKUP(A15,'TW Comp_R'!$A$3:$A$64,1,0)</f>
        <v>CHANDIGARH(TRICITY)</v>
      </c>
    </row>
    <row r="16" spans="1:5" hidden="1" x14ac:dyDescent="0.2">
      <c r="A16" s="13" t="s">
        <v>65</v>
      </c>
      <c r="B16" s="14" t="s">
        <v>29</v>
      </c>
      <c r="C16" s="5">
        <v>0.255</v>
      </c>
      <c r="D16" s="5">
        <v>2.5000000000000001E-2</v>
      </c>
      <c r="E16" s="8" t="str">
        <f>VLOOKUP(A16,'TW Comp_R'!$A$3:$A$64,1,0)</f>
        <v>HIMACHAL PRADESH - BILASPUR, MANDI, SOLAN, SHIMLA &amp; MANALI</v>
      </c>
    </row>
    <row r="17" spans="1:5" hidden="1" x14ac:dyDescent="0.2">
      <c r="A17" s="13" t="s">
        <v>66</v>
      </c>
      <c r="B17" s="14" t="s">
        <v>29</v>
      </c>
      <c r="C17" s="5">
        <v>0.23499999999999999</v>
      </c>
      <c r="D17" s="5">
        <v>2.5000000000000001E-2</v>
      </c>
      <c r="E17" s="8" t="str">
        <f>VLOOKUP(A17,'TW Comp_R'!$A$3:$A$64,1,0)</f>
        <v>HIMACHAL PRADESH - REST</v>
      </c>
    </row>
    <row r="18" spans="1:5" hidden="1" x14ac:dyDescent="0.2">
      <c r="A18" s="13" t="s">
        <v>68</v>
      </c>
      <c r="B18" s="14" t="s">
        <v>29</v>
      </c>
      <c r="C18" s="5">
        <v>0.3</v>
      </c>
      <c r="D18" s="5">
        <v>2.5000000000000001E-2</v>
      </c>
      <c r="E18" s="8" t="str">
        <f>VLOOKUP(A18,'TW Comp_R'!$A$3:$A$64,1,0)</f>
        <v>JAMMU &amp; KASHMIR - REST</v>
      </c>
    </row>
    <row r="19" spans="1:5" hidden="1" x14ac:dyDescent="0.2">
      <c r="A19" s="13" t="s">
        <v>69</v>
      </c>
      <c r="B19" s="14" t="s">
        <v>29</v>
      </c>
      <c r="C19" s="5">
        <v>0.4</v>
      </c>
      <c r="D19" s="5">
        <v>2.5000000000000001E-2</v>
      </c>
      <c r="E19" s="8" t="str">
        <f>VLOOKUP(A19,'TW Comp_R'!$A$3:$A$64,1,0)</f>
        <v>PUNJAB - AMRITSAR &amp; SURRONDING</v>
      </c>
    </row>
    <row r="20" spans="1:5" hidden="1" x14ac:dyDescent="0.2">
      <c r="A20" s="13" t="s">
        <v>70</v>
      </c>
      <c r="B20" s="14" t="s">
        <v>29</v>
      </c>
      <c r="C20" s="5">
        <v>0.4</v>
      </c>
      <c r="D20" s="5">
        <v>2.5000000000000001E-2</v>
      </c>
      <c r="E20" s="8" t="str">
        <f>VLOOKUP(A20,'TW Comp_R'!$A$3:$A$64,1,0)</f>
        <v>PUNJAB - LUDHIANA &amp; SURRONDING</v>
      </c>
    </row>
    <row r="21" spans="1:5" hidden="1" x14ac:dyDescent="0.2">
      <c r="A21" s="13" t="s">
        <v>75</v>
      </c>
      <c r="B21" s="14" t="s">
        <v>29</v>
      </c>
      <c r="C21" s="5">
        <v>0.38</v>
      </c>
      <c r="D21" s="5">
        <v>2.5000000000000001E-2</v>
      </c>
      <c r="E21" s="8" t="str">
        <f>VLOOKUP(A21,'TW Comp_R'!$A$3:$A$64,1,0)</f>
        <v>UTTAR PRADESH - LUCKNOW, ALLAHABAD, GORAKHPUR, KANPUR &amp; VARANASI</v>
      </c>
    </row>
    <row r="22" spans="1:5" hidden="1" x14ac:dyDescent="0.2">
      <c r="A22" s="13" t="s">
        <v>78</v>
      </c>
      <c r="B22" s="14" t="s">
        <v>29</v>
      </c>
      <c r="C22" s="5">
        <v>0.28499999999999998</v>
      </c>
      <c r="D22" s="5">
        <v>2.5000000000000001E-2</v>
      </c>
      <c r="E22" s="8" t="str">
        <f>VLOOKUP(A22,'TW Comp_R'!$A$3:$A$64,1,0)</f>
        <v>UTTARAKHAND - DEHRADUN</v>
      </c>
    </row>
    <row r="23" spans="1:5" hidden="1" x14ac:dyDescent="0.2">
      <c r="A23" s="13" t="s">
        <v>79</v>
      </c>
      <c r="B23" s="14" t="s">
        <v>29</v>
      </c>
      <c r="C23" s="5">
        <v>0.23499999999999999</v>
      </c>
      <c r="D23" s="5">
        <v>2.5000000000000001E-2</v>
      </c>
      <c r="E23" s="8" t="str">
        <f>VLOOKUP(A23,'TW Comp_R'!$A$3:$A$64,1,0)</f>
        <v>UTTARAKHAND - REST</v>
      </c>
    </row>
    <row r="24" spans="1:5" x14ac:dyDescent="0.2">
      <c r="A24" s="15" t="s">
        <v>70</v>
      </c>
      <c r="B24" s="16" t="s">
        <v>30</v>
      </c>
      <c r="C24" s="6">
        <v>0.52</v>
      </c>
      <c r="D24" s="6">
        <v>2.5000000000000001E-2</v>
      </c>
      <c r="E24" s="8" t="str">
        <f>VLOOKUP(A24,'TW Comp_R'!$A$65:$A$126,1,0)</f>
        <v>PUNJAB - LUDHIANA &amp; SURRONDING</v>
      </c>
    </row>
    <row r="25" spans="1:5" x14ac:dyDescent="0.2">
      <c r="A25" s="15" t="s">
        <v>66</v>
      </c>
      <c r="B25" s="16" t="s">
        <v>30</v>
      </c>
      <c r="C25" s="6">
        <v>0.41499999999999998</v>
      </c>
      <c r="D25" s="6">
        <v>2.5000000000000001E-2</v>
      </c>
      <c r="E25" s="8" t="str">
        <f>VLOOKUP(A25,'TW Comp_R'!$A$65:$A$126,1,0)</f>
        <v>HIMACHAL PRADESH - REST</v>
      </c>
    </row>
    <row r="26" spans="1:5" x14ac:dyDescent="0.2">
      <c r="A26" s="15" t="s">
        <v>68</v>
      </c>
      <c r="B26" s="16" t="s">
        <v>30</v>
      </c>
      <c r="C26" s="6">
        <v>0.32</v>
      </c>
      <c r="D26" s="6">
        <v>2.5000000000000001E-2</v>
      </c>
      <c r="E26" s="8" t="str">
        <f>VLOOKUP(A26,'TW Comp_R'!$A$65:$A$126,1,0)</f>
        <v>JAMMU &amp; KASHMIR - REST</v>
      </c>
    </row>
    <row r="27" spans="1:5" x14ac:dyDescent="0.2">
      <c r="A27" s="15" t="s">
        <v>19</v>
      </c>
      <c r="B27" s="16" t="s">
        <v>30</v>
      </c>
      <c r="C27" s="6">
        <v>0.44</v>
      </c>
      <c r="D27" s="6">
        <v>2.5000000000000001E-2</v>
      </c>
      <c r="E27" s="8" t="str">
        <f>VLOOKUP(A27,'TW Comp_R'!$A$65:$A$126,1,0)</f>
        <v>TELANGANA - HYDERABAD &amp; SURRONDING</v>
      </c>
    </row>
    <row r="28" spans="1:5" x14ac:dyDescent="0.2">
      <c r="A28" s="15" t="s">
        <v>69</v>
      </c>
      <c r="B28" s="16" t="s">
        <v>30</v>
      </c>
      <c r="C28" s="6">
        <v>0.52</v>
      </c>
      <c r="D28" s="6">
        <v>2.5000000000000001E-2</v>
      </c>
      <c r="E28" s="8" t="str">
        <f>VLOOKUP(A28,'TW Comp_R'!$A$65:$A$126,1,0)</f>
        <v>PUNJAB - AMRITSAR &amp; SURRONDING</v>
      </c>
    </row>
    <row r="29" spans="1:5" x14ac:dyDescent="0.2">
      <c r="A29" s="15" t="s">
        <v>76</v>
      </c>
      <c r="B29" s="16" t="s">
        <v>30</v>
      </c>
      <c r="C29" s="6">
        <v>0.39</v>
      </c>
      <c r="D29" s="6">
        <v>2.5000000000000001E-2</v>
      </c>
      <c r="E29" s="8" t="str">
        <f>VLOOKUP(A29,'TW Comp_R'!$A$65:$A$126,1,0)</f>
        <v>UTTAR PRADESH - REST</v>
      </c>
    </row>
    <row r="30" spans="1:5" x14ac:dyDescent="0.2">
      <c r="A30" s="15" t="s">
        <v>7</v>
      </c>
      <c r="B30" s="16" t="s">
        <v>30</v>
      </c>
      <c r="C30" s="6">
        <v>0.44</v>
      </c>
      <c r="D30" s="6">
        <v>2.5000000000000001E-2</v>
      </c>
      <c r="E30" s="8" t="str">
        <f>VLOOKUP(A30,'TW Comp_R'!$A$65:$A$126,1,0)</f>
        <v>ANDHRA PRADESH - KRISHNA(VIJAYWADA)</v>
      </c>
    </row>
    <row r="31" spans="1:5" x14ac:dyDescent="0.2">
      <c r="A31" s="15" t="s">
        <v>79</v>
      </c>
      <c r="B31" s="16" t="s">
        <v>30</v>
      </c>
      <c r="C31" s="6">
        <v>0.33</v>
      </c>
      <c r="D31" s="6">
        <v>2.5000000000000001E-2</v>
      </c>
      <c r="E31" s="8" t="str">
        <f>VLOOKUP(A31,'TW Comp_R'!$A$65:$A$126,1,0)</f>
        <v>UTTARAKHAND - REST</v>
      </c>
    </row>
    <row r="32" spans="1:5" x14ac:dyDescent="0.2">
      <c r="A32" s="15" t="s">
        <v>65</v>
      </c>
      <c r="B32" s="16" t="s">
        <v>30</v>
      </c>
      <c r="C32" s="6">
        <v>0.47</v>
      </c>
      <c r="D32" s="6">
        <v>2.5000000000000001E-2</v>
      </c>
      <c r="E32" s="8" t="str">
        <f>VLOOKUP(A32,'TW Comp_R'!$A$65:$A$126,1,0)</f>
        <v>HIMACHAL PRADESH - BILASPUR, MANDI, SOLAN, SHIMLA &amp; MANALI</v>
      </c>
    </row>
    <row r="33" spans="1:5" x14ac:dyDescent="0.2">
      <c r="A33" s="15" t="s">
        <v>78</v>
      </c>
      <c r="B33" s="16" t="s">
        <v>30</v>
      </c>
      <c r="C33" s="6">
        <v>0.40499999999999997</v>
      </c>
      <c r="D33" s="6">
        <v>2.5000000000000001E-2</v>
      </c>
      <c r="E33" s="8" t="str">
        <f>VLOOKUP(A33,'TW Comp_R'!$A$65:$A$126,1,0)</f>
        <v>UTTARAKHAND - DEHRADUN</v>
      </c>
    </row>
    <row r="34" spans="1:5" x14ac:dyDescent="0.2">
      <c r="A34" s="15" t="s">
        <v>108</v>
      </c>
      <c r="B34" s="16" t="s">
        <v>30</v>
      </c>
      <c r="C34" s="6">
        <v>0</v>
      </c>
      <c r="D34" s="6">
        <v>2.5000000000000001E-2</v>
      </c>
      <c r="E34" s="8" t="str">
        <f>VLOOKUP(A34,'TW Comp_R'!$A$65:$A$126,1,0)</f>
        <v>WEST BENGAL - REST</v>
      </c>
    </row>
    <row r="35" spans="1:5" hidden="1" x14ac:dyDescent="0.2">
      <c r="A35" s="13" t="s">
        <v>94</v>
      </c>
      <c r="B35" s="14" t="s">
        <v>29</v>
      </c>
      <c r="C35" s="5">
        <v>0</v>
      </c>
      <c r="D35" s="5">
        <v>2.5000000000000001E-2</v>
      </c>
      <c r="E35" s="8" t="str">
        <f>VLOOKUP(A35,'TW Comp_R'!$A$3:$A$64,1,0)</f>
        <v>ASSAM - KAMRUP (GUWAHATI)</v>
      </c>
    </row>
    <row r="36" spans="1:5" hidden="1" x14ac:dyDescent="0.2">
      <c r="A36" s="13" t="s">
        <v>95</v>
      </c>
      <c r="B36" s="14" t="s">
        <v>29</v>
      </c>
      <c r="C36" s="5">
        <v>0</v>
      </c>
      <c r="D36" s="5">
        <v>2.5000000000000001E-2</v>
      </c>
      <c r="E36" s="8" t="str">
        <f>VLOOKUP(A36,'TW Comp_R'!$A$3:$A$64,1,0)</f>
        <v>ASSAM - LOWER</v>
      </c>
    </row>
    <row r="37" spans="1:5" hidden="1" x14ac:dyDescent="0.2">
      <c r="A37" s="13" t="s">
        <v>96</v>
      </c>
      <c r="B37" s="14" t="s">
        <v>29</v>
      </c>
      <c r="C37" s="5">
        <v>0</v>
      </c>
      <c r="D37" s="5">
        <v>2.5000000000000001E-2</v>
      </c>
      <c r="E37" s="8" t="str">
        <f>VLOOKUP(A37,'TW Comp_R'!$A$3:$A$64,1,0)</f>
        <v>ASSAM - UPPER</v>
      </c>
    </row>
    <row r="38" spans="1:5" hidden="1" x14ac:dyDescent="0.2">
      <c r="A38" s="13" t="s">
        <v>97</v>
      </c>
      <c r="B38" s="14" t="s">
        <v>29</v>
      </c>
      <c r="C38" s="5">
        <v>0.3</v>
      </c>
      <c r="D38" s="5">
        <v>2.5000000000000001E-2</v>
      </c>
      <c r="E38" s="8" t="str">
        <f>VLOOKUP(A38,'TW Comp_R'!$A$3:$A$64,1,0)</f>
        <v>BIHAR</v>
      </c>
    </row>
    <row r="39" spans="1:5" hidden="1" x14ac:dyDescent="0.2">
      <c r="A39" s="13" t="s">
        <v>109</v>
      </c>
      <c r="B39" s="14" t="s">
        <v>29</v>
      </c>
      <c r="C39" s="5">
        <v>0</v>
      </c>
      <c r="D39" s="5">
        <v>2.5000000000000001E-2</v>
      </c>
      <c r="E39" s="8" t="str">
        <f>VLOOKUP(A39,'TW Comp_R'!$A$3:$A$64,1,0)</f>
        <v>CHATTISGARH - RAIPUR</v>
      </c>
    </row>
    <row r="40" spans="1:5" hidden="1" x14ac:dyDescent="0.2">
      <c r="A40" s="13" t="s">
        <v>110</v>
      </c>
      <c r="B40" s="14" t="s">
        <v>29</v>
      </c>
      <c r="C40" s="5">
        <v>0</v>
      </c>
      <c r="D40" s="5">
        <v>2.5000000000000001E-2</v>
      </c>
      <c r="E40" s="8" t="str">
        <f>VLOOKUP(A40,'TW Comp_R'!$A$3:$A$64,1,0)</f>
        <v>CHATTISGARH - REST</v>
      </c>
    </row>
    <row r="41" spans="1:5" hidden="1" x14ac:dyDescent="0.2">
      <c r="A41" s="13" t="s">
        <v>98</v>
      </c>
      <c r="B41" s="14" t="s">
        <v>29</v>
      </c>
      <c r="C41" s="5">
        <v>0.3</v>
      </c>
      <c r="D41" s="5">
        <v>2.5000000000000001E-2</v>
      </c>
      <c r="E41" s="8" t="str">
        <f>VLOOKUP(A41,'TW Comp_R'!$A$3:$A$64,1,0)</f>
        <v>JHARKHAND</v>
      </c>
    </row>
    <row r="42" spans="1:5" hidden="1" x14ac:dyDescent="0.2">
      <c r="A42" s="13" t="s">
        <v>100</v>
      </c>
      <c r="B42" s="14" t="s">
        <v>29</v>
      </c>
      <c r="C42" s="5">
        <v>0</v>
      </c>
      <c r="D42" s="5">
        <v>2.5000000000000001E-2</v>
      </c>
      <c r="E42" s="8" t="str">
        <f>VLOOKUP(A42,'TW Comp_R'!$A$3:$A$64,1,0)</f>
        <v>MEGHALAYA</v>
      </c>
    </row>
    <row r="43" spans="1:5" hidden="1" x14ac:dyDescent="0.2">
      <c r="A43" s="13" t="s">
        <v>103</v>
      </c>
      <c r="B43" s="14" t="s">
        <v>29</v>
      </c>
      <c r="C43" s="5">
        <v>0</v>
      </c>
      <c r="D43" s="5">
        <v>2.5000000000000001E-2</v>
      </c>
      <c r="E43" s="8" t="str">
        <f>VLOOKUP(A43,'TW Comp_R'!$A$3:$A$64,1,0)</f>
        <v>ODISHA - BHUBANESHWAR</v>
      </c>
    </row>
    <row r="44" spans="1:5" hidden="1" x14ac:dyDescent="0.2">
      <c r="A44" s="13" t="s">
        <v>104</v>
      </c>
      <c r="B44" s="14" t="s">
        <v>29</v>
      </c>
      <c r="C44" s="5">
        <v>0</v>
      </c>
      <c r="D44" s="5">
        <v>2.5000000000000001E-2</v>
      </c>
      <c r="E44" s="8" t="str">
        <f>VLOOKUP(A44,'TW Comp_R'!$A$3:$A$64,1,0)</f>
        <v>ODISHA - REST</v>
      </c>
    </row>
    <row r="45" spans="1:5" hidden="1" x14ac:dyDescent="0.2">
      <c r="A45" s="13" t="s">
        <v>106</v>
      </c>
      <c r="B45" s="14" t="s">
        <v>29</v>
      </c>
      <c r="C45" s="5">
        <v>0</v>
      </c>
      <c r="D45" s="5">
        <v>2.5000000000000001E-2</v>
      </c>
      <c r="E45" s="8" t="str">
        <f>VLOOKUP(A45,'TW Comp_R'!$A$3:$A$64,1,0)</f>
        <v>TRIPURA</v>
      </c>
    </row>
    <row r="46" spans="1:5" hidden="1" x14ac:dyDescent="0.2">
      <c r="A46" s="13" t="s">
        <v>107</v>
      </c>
      <c r="B46" s="14" t="s">
        <v>29</v>
      </c>
      <c r="C46" s="5">
        <v>0</v>
      </c>
      <c r="D46" s="5">
        <v>2.5000000000000001E-2</v>
      </c>
      <c r="E46" s="8" t="str">
        <f>VLOOKUP(A46,'TW Comp_R'!$A$3:$A$64,1,0)</f>
        <v>WEST BENGAL - KOLKATA</v>
      </c>
    </row>
    <row r="47" spans="1:5" hidden="1" x14ac:dyDescent="0.2">
      <c r="A47" s="13" t="s">
        <v>108</v>
      </c>
      <c r="B47" s="14" t="s">
        <v>29</v>
      </c>
      <c r="C47" s="5">
        <v>0</v>
      </c>
      <c r="D47" s="5">
        <v>2.5000000000000001E-2</v>
      </c>
      <c r="E47" s="8" t="str">
        <f>VLOOKUP(A47,'TW Comp_R'!$A$3:$A$64,1,0)</f>
        <v>WEST BENGAL - REST</v>
      </c>
    </row>
    <row r="48" spans="1:5" x14ac:dyDescent="0.2">
      <c r="A48" s="15" t="s">
        <v>67</v>
      </c>
      <c r="B48" s="16" t="s">
        <v>30</v>
      </c>
      <c r="C48" s="6">
        <v>0.45</v>
      </c>
      <c r="D48" s="6">
        <v>2.5000000000000001E-2</v>
      </c>
      <c r="E48" s="8" t="str">
        <f>VLOOKUP(A48,'TW Comp_R'!$A$65:$A$126,1,0)</f>
        <v>JAMMU &amp; KASHMIR - JAMMU</v>
      </c>
    </row>
    <row r="49" spans="1:5" x14ac:dyDescent="0.2">
      <c r="A49" s="15" t="s">
        <v>9</v>
      </c>
      <c r="B49" s="16" t="s">
        <v>30</v>
      </c>
      <c r="C49" s="6">
        <v>0.44</v>
      </c>
      <c r="D49" s="6">
        <v>2.5000000000000001E-2</v>
      </c>
      <c r="E49" s="8" t="str">
        <f>VLOOKUP(A49,'TW Comp_R'!$A$65:$A$126,1,0)</f>
        <v>ANDHRA PRADESH - REST</v>
      </c>
    </row>
    <row r="50" spans="1:5" x14ac:dyDescent="0.2">
      <c r="A50" s="15" t="s">
        <v>100</v>
      </c>
      <c r="B50" s="16" t="s">
        <v>30</v>
      </c>
      <c r="C50" s="6">
        <v>0</v>
      </c>
      <c r="D50" s="6">
        <v>2.5000000000000001E-2</v>
      </c>
      <c r="E50" s="8" t="str">
        <f>VLOOKUP(A50,'TW Comp_R'!$A$65:$A$126,1,0)</f>
        <v>MEGHALAYA</v>
      </c>
    </row>
    <row r="51" spans="1:5" x14ac:dyDescent="0.2">
      <c r="A51" s="15" t="s">
        <v>107</v>
      </c>
      <c r="B51" s="16" t="s">
        <v>30</v>
      </c>
      <c r="C51" s="6">
        <v>0</v>
      </c>
      <c r="D51" s="6">
        <v>2.5000000000000001E-2</v>
      </c>
      <c r="E51" s="8" t="str">
        <f>VLOOKUP(A51,'TW Comp_R'!$A$65:$A$126,1,0)</f>
        <v>WEST BENGAL - KOLKATA</v>
      </c>
    </row>
    <row r="52" spans="1:5" x14ac:dyDescent="0.2">
      <c r="A52" s="15" t="s">
        <v>103</v>
      </c>
      <c r="B52" s="16" t="s">
        <v>30</v>
      </c>
      <c r="C52" s="6">
        <v>0</v>
      </c>
      <c r="D52" s="6">
        <v>2.5000000000000001E-2</v>
      </c>
      <c r="E52" s="8" t="str">
        <f>VLOOKUP(A52,'TW Comp_R'!$A$65:$A$126,1,0)</f>
        <v>ODISHA - BHUBANESHWAR</v>
      </c>
    </row>
    <row r="53" spans="1:5" x14ac:dyDescent="0.2">
      <c r="A53" s="15" t="s">
        <v>10</v>
      </c>
      <c r="B53" s="16" t="s">
        <v>30</v>
      </c>
      <c r="C53" s="6">
        <v>0.44</v>
      </c>
      <c r="D53" s="6">
        <v>2.5000000000000001E-2</v>
      </c>
      <c r="E53" s="8" t="str">
        <f>VLOOKUP(A53,'TW Comp_R'!$A$65:$A$126,1,0)</f>
        <v>ANDHRA PRADESH - VISAKHAPATNAM</v>
      </c>
    </row>
    <row r="54" spans="1:5" x14ac:dyDescent="0.2">
      <c r="A54" s="15" t="s">
        <v>94</v>
      </c>
      <c r="B54" s="16" t="s">
        <v>30</v>
      </c>
      <c r="C54" s="6">
        <v>0</v>
      </c>
      <c r="D54" s="6">
        <v>2.5000000000000001E-2</v>
      </c>
      <c r="E54" s="8" t="str">
        <f>VLOOKUP(A54,'TW Comp_R'!$A$65:$A$126,1,0)</f>
        <v>ASSAM - KAMRUP (GUWAHATI)</v>
      </c>
    </row>
    <row r="55" spans="1:5" x14ac:dyDescent="0.2">
      <c r="A55" s="15" t="s">
        <v>95</v>
      </c>
      <c r="B55" s="16" t="s">
        <v>30</v>
      </c>
      <c r="C55" s="6">
        <v>0</v>
      </c>
      <c r="D55" s="6">
        <v>2.5000000000000001E-2</v>
      </c>
      <c r="E55" s="8" t="str">
        <f>VLOOKUP(A55,'TW Comp_R'!$A$65:$A$126,1,0)</f>
        <v>ASSAM - LOWER</v>
      </c>
    </row>
    <row r="56" spans="1:5" x14ac:dyDescent="0.2">
      <c r="A56" s="15" t="s">
        <v>96</v>
      </c>
      <c r="B56" s="16" t="s">
        <v>30</v>
      </c>
      <c r="C56" s="6">
        <v>0</v>
      </c>
      <c r="D56" s="6">
        <v>2.5000000000000001E-2</v>
      </c>
      <c r="E56" s="8" t="str">
        <f>VLOOKUP(A56,'TW Comp_R'!$A$65:$A$126,1,0)</f>
        <v>ASSAM - UPPER</v>
      </c>
    </row>
    <row r="57" spans="1:5" x14ac:dyDescent="0.2">
      <c r="A57" s="15" t="s">
        <v>109</v>
      </c>
      <c r="B57" s="16" t="s">
        <v>30</v>
      </c>
      <c r="C57" s="6">
        <v>0</v>
      </c>
      <c r="D57" s="6">
        <v>2.5000000000000001E-2</v>
      </c>
      <c r="E57" s="8" t="str">
        <f>VLOOKUP(A57,'TW Comp_R'!$A$65:$A$126,1,0)</f>
        <v>CHATTISGARH - RAIPUR</v>
      </c>
    </row>
    <row r="58" spans="1:5" x14ac:dyDescent="0.2">
      <c r="A58" s="15" t="s">
        <v>110</v>
      </c>
      <c r="B58" s="16" t="s">
        <v>30</v>
      </c>
      <c r="C58" s="6">
        <v>0</v>
      </c>
      <c r="D58" s="6">
        <v>2.5000000000000001E-2</v>
      </c>
      <c r="E58" s="8" t="str">
        <f>VLOOKUP(A58,'TW Comp_R'!$A$65:$A$126,1,0)</f>
        <v>CHATTISGARH - REST</v>
      </c>
    </row>
    <row r="59" spans="1:5" x14ac:dyDescent="0.2">
      <c r="A59" s="15" t="s">
        <v>104</v>
      </c>
      <c r="B59" s="16" t="s">
        <v>30</v>
      </c>
      <c r="C59" s="6">
        <v>0</v>
      </c>
      <c r="D59" s="6">
        <v>2.5000000000000001E-2</v>
      </c>
      <c r="E59" s="8" t="str">
        <f>VLOOKUP(A59,'TW Comp_R'!$A$65:$A$126,1,0)</f>
        <v>ODISHA - REST</v>
      </c>
    </row>
  </sheetData>
  <autoFilter ref="A2:D59" xr:uid="{B7C98892-FA88-4D1C-8DB6-C757F1FF5490}">
    <filterColumn colId="1">
      <filters>
        <filter val="Scooter"/>
      </filters>
    </filterColumn>
  </autoFilter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5C19-DD09-40D4-9146-87DB5202DCE6}">
  <dimension ref="A2:T144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7" sqref="I17"/>
    </sheetView>
  </sheetViews>
  <sheetFormatPr defaultColWidth="9.140625" defaultRowHeight="11.25" x14ac:dyDescent="0.2"/>
  <cols>
    <col min="1" max="1" width="23.85546875" style="9" bestFit="1" customWidth="1"/>
    <col min="2" max="2" width="21.5703125" style="9" bestFit="1" customWidth="1"/>
    <col min="3" max="3" width="50.42578125" style="9" customWidth="1"/>
    <col min="4" max="4" width="8.42578125" style="9" customWidth="1"/>
    <col min="5" max="5" width="13.140625" style="9" customWidth="1"/>
    <col min="6" max="6" width="14.85546875" style="9" customWidth="1"/>
    <col min="7" max="7" width="11.7109375" style="9" customWidth="1"/>
    <col min="8" max="8" width="8.42578125" style="9" customWidth="1"/>
    <col min="9" max="9" width="13.140625" style="9" customWidth="1"/>
    <col min="10" max="10" width="14.85546875" style="9" customWidth="1"/>
    <col min="11" max="11" width="8.42578125" style="9" bestFit="1" customWidth="1"/>
    <col min="12" max="12" width="13.140625" style="9" bestFit="1" customWidth="1"/>
    <col min="13" max="13" width="14.85546875" style="9" bestFit="1" customWidth="1"/>
    <col min="14" max="14" width="8.42578125" style="9" bestFit="1" customWidth="1"/>
    <col min="15" max="15" width="13.140625" style="9" bestFit="1" customWidth="1"/>
    <col min="16" max="16" width="14.85546875" style="9" bestFit="1" customWidth="1"/>
    <col min="17" max="17" width="8.5703125" style="9" bestFit="1" customWidth="1"/>
    <col min="18" max="18" width="12.85546875" style="9" bestFit="1" customWidth="1"/>
    <col min="19" max="19" width="14.42578125" style="9" bestFit="1" customWidth="1"/>
    <col min="20" max="20" width="11.42578125" style="9" bestFit="1" customWidth="1"/>
    <col min="21" max="16384" width="9.140625" style="9"/>
  </cols>
  <sheetData>
    <row r="2" spans="1:20" x14ac:dyDescent="0.2">
      <c r="D2" s="110" t="s">
        <v>252</v>
      </c>
      <c r="E2" s="111"/>
      <c r="F2" s="111"/>
      <c r="G2" s="112"/>
      <c r="H2" s="109" t="s">
        <v>135</v>
      </c>
      <c r="I2" s="109"/>
      <c r="J2" s="109"/>
      <c r="K2" s="109" t="s">
        <v>136</v>
      </c>
      <c r="L2" s="109"/>
      <c r="M2" s="109"/>
      <c r="N2" s="109" t="s">
        <v>45</v>
      </c>
      <c r="O2" s="109"/>
      <c r="P2" s="109"/>
      <c r="Q2" s="106" t="s">
        <v>254</v>
      </c>
      <c r="R2" s="107"/>
      <c r="S2" s="107"/>
      <c r="T2" s="108"/>
    </row>
    <row r="3" spans="1:20" x14ac:dyDescent="0.2">
      <c r="A3" s="45" t="s">
        <v>219</v>
      </c>
      <c r="B3" s="45" t="s">
        <v>220</v>
      </c>
      <c r="C3" s="45" t="s">
        <v>221</v>
      </c>
      <c r="D3" s="4" t="s">
        <v>47</v>
      </c>
      <c r="E3" s="4" t="s">
        <v>48</v>
      </c>
      <c r="F3" s="4" t="s">
        <v>49</v>
      </c>
      <c r="G3" s="4" t="s">
        <v>253</v>
      </c>
      <c r="H3" s="4" t="s">
        <v>47</v>
      </c>
      <c r="I3" s="4" t="s">
        <v>48</v>
      </c>
      <c r="J3" s="4" t="s">
        <v>49</v>
      </c>
      <c r="K3" s="4" t="s">
        <v>47</v>
      </c>
      <c r="L3" s="4" t="s">
        <v>48</v>
      </c>
      <c r="M3" s="4" t="s">
        <v>49</v>
      </c>
      <c r="N3" s="4" t="s">
        <v>47</v>
      </c>
      <c r="O3" s="4" t="s">
        <v>48</v>
      </c>
      <c r="P3" s="4" t="s">
        <v>49</v>
      </c>
      <c r="Q3" s="68" t="s">
        <v>47</v>
      </c>
      <c r="R3" s="68" t="s">
        <v>48</v>
      </c>
      <c r="S3" s="68" t="s">
        <v>49</v>
      </c>
      <c r="T3" s="68" t="s">
        <v>253</v>
      </c>
    </row>
    <row r="4" spans="1:20" x14ac:dyDescent="0.2">
      <c r="A4" s="82" t="s">
        <v>145</v>
      </c>
      <c r="B4" s="36" t="s">
        <v>145</v>
      </c>
      <c r="C4" s="36" t="s">
        <v>7</v>
      </c>
      <c r="D4" s="60">
        <v>0.36499999999999999</v>
      </c>
      <c r="E4" s="61">
        <v>0.61</v>
      </c>
      <c r="F4" s="60">
        <v>0.61</v>
      </c>
      <c r="G4" s="60">
        <v>0.61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0.31199999999999994</v>
      </c>
      <c r="O4" s="63">
        <v>0.43199999999999994</v>
      </c>
      <c r="P4" s="63">
        <v>0.52299999999999991</v>
      </c>
      <c r="Q4" s="87">
        <v>0.31</v>
      </c>
      <c r="R4" s="87">
        <v>0.48</v>
      </c>
      <c r="S4" s="87">
        <v>0.54</v>
      </c>
      <c r="T4" s="87">
        <v>0.51</v>
      </c>
    </row>
    <row r="5" spans="1:20" x14ac:dyDescent="0.2">
      <c r="A5" s="82" t="s">
        <v>146</v>
      </c>
      <c r="B5" s="36" t="s">
        <v>146</v>
      </c>
      <c r="C5" s="36" t="s">
        <v>10</v>
      </c>
      <c r="D5" s="60">
        <v>0.36499999999999999</v>
      </c>
      <c r="E5" s="61">
        <v>0.61</v>
      </c>
      <c r="F5" s="60">
        <v>0.61</v>
      </c>
      <c r="G5" s="60">
        <v>0.61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9.9999999999999867E-2</v>
      </c>
      <c r="N5" s="63">
        <v>0.31199999999999994</v>
      </c>
      <c r="O5" s="63">
        <v>0.43199999999999994</v>
      </c>
      <c r="P5" s="63">
        <v>0.52299999999999991</v>
      </c>
      <c r="Q5" s="87">
        <v>0.3</v>
      </c>
      <c r="R5" s="87">
        <v>0.48</v>
      </c>
      <c r="S5" s="87">
        <v>0.54</v>
      </c>
      <c r="T5" s="87">
        <v>0.51</v>
      </c>
    </row>
    <row r="6" spans="1:20" x14ac:dyDescent="0.2">
      <c r="A6" s="82" t="s">
        <v>222</v>
      </c>
      <c r="B6" s="36" t="s">
        <v>147</v>
      </c>
      <c r="C6" s="36" t="s">
        <v>9</v>
      </c>
      <c r="D6" s="60">
        <v>0.33</v>
      </c>
      <c r="E6" s="61">
        <v>0.61</v>
      </c>
      <c r="F6" s="60">
        <v>0.61</v>
      </c>
      <c r="G6" s="60">
        <v>0.61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0.31199999999999994</v>
      </c>
      <c r="O6" s="63">
        <v>0.43199999999999994</v>
      </c>
      <c r="P6" s="63">
        <v>0.52299999999999991</v>
      </c>
      <c r="Q6" s="60">
        <v>0.32105590349253632</v>
      </c>
      <c r="R6" s="87">
        <v>0.47</v>
      </c>
      <c r="S6" s="87">
        <v>0.52</v>
      </c>
      <c r="T6" s="87">
        <v>0.49</v>
      </c>
    </row>
    <row r="7" spans="1:20" x14ac:dyDescent="0.2">
      <c r="A7" s="82" t="s">
        <v>223</v>
      </c>
      <c r="B7" s="36" t="s">
        <v>147</v>
      </c>
      <c r="C7" s="36" t="s">
        <v>9</v>
      </c>
      <c r="D7" s="61">
        <v>0</v>
      </c>
      <c r="E7" s="61">
        <v>0</v>
      </c>
      <c r="F7" s="61">
        <v>0</v>
      </c>
      <c r="G7" s="61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0.31199999999999994</v>
      </c>
      <c r="O7" s="63">
        <v>0.43199999999999994</v>
      </c>
      <c r="P7" s="63">
        <v>0.52299999999999991</v>
      </c>
      <c r="Q7" s="61">
        <v>0</v>
      </c>
      <c r="R7" s="61">
        <v>0</v>
      </c>
      <c r="S7" s="61">
        <v>0</v>
      </c>
      <c r="T7" s="61">
        <v>0</v>
      </c>
    </row>
    <row r="8" spans="1:20" x14ac:dyDescent="0.2">
      <c r="A8" s="82" t="s">
        <v>93</v>
      </c>
      <c r="B8" s="36" t="s">
        <v>93</v>
      </c>
      <c r="C8" s="36" t="s">
        <v>93</v>
      </c>
      <c r="D8" s="61">
        <v>0</v>
      </c>
      <c r="E8" s="61">
        <v>0</v>
      </c>
      <c r="F8" s="61">
        <v>0</v>
      </c>
      <c r="G8" s="61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0.14399999999999991</v>
      </c>
      <c r="O8" s="63">
        <v>0.25600000000000001</v>
      </c>
      <c r="P8" s="63">
        <v>0.37</v>
      </c>
      <c r="Q8" s="61">
        <v>0</v>
      </c>
      <c r="R8" s="61">
        <v>0</v>
      </c>
      <c r="S8" s="61">
        <v>0</v>
      </c>
      <c r="T8" s="61">
        <v>0</v>
      </c>
    </row>
    <row r="9" spans="1:20" x14ac:dyDescent="0.2">
      <c r="A9" s="82" t="s">
        <v>148</v>
      </c>
      <c r="B9" s="36" t="s">
        <v>148</v>
      </c>
      <c r="C9" s="36" t="s">
        <v>94</v>
      </c>
      <c r="D9" s="61">
        <v>0</v>
      </c>
      <c r="E9" s="61">
        <v>0</v>
      </c>
      <c r="F9" s="61">
        <v>0</v>
      </c>
      <c r="G9" s="61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9">
        <v>0.18</v>
      </c>
      <c r="Q9" s="61">
        <v>0</v>
      </c>
      <c r="R9" s="61">
        <v>0</v>
      </c>
      <c r="S9" s="61">
        <v>0</v>
      </c>
      <c r="T9" s="61">
        <v>0</v>
      </c>
    </row>
    <row r="10" spans="1:20" x14ac:dyDescent="0.2">
      <c r="A10" s="82" t="s">
        <v>149</v>
      </c>
      <c r="B10" s="36" t="s">
        <v>149</v>
      </c>
      <c r="C10" s="36" t="s">
        <v>96</v>
      </c>
      <c r="D10" s="60">
        <v>0.34</v>
      </c>
      <c r="E10" s="60">
        <v>0.42</v>
      </c>
      <c r="F10" s="60">
        <v>0.48</v>
      </c>
      <c r="G10" s="60">
        <v>0.48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9">
        <v>0.18</v>
      </c>
      <c r="Q10" s="60">
        <v>0.34</v>
      </c>
      <c r="R10" s="60">
        <v>0.42</v>
      </c>
      <c r="S10" s="60">
        <v>0.48</v>
      </c>
      <c r="T10" s="60">
        <v>0.48</v>
      </c>
    </row>
    <row r="11" spans="1:20" x14ac:dyDescent="0.2">
      <c r="A11" s="82" t="s">
        <v>150</v>
      </c>
      <c r="B11" s="36" t="s">
        <v>150</v>
      </c>
      <c r="C11" s="36" t="s">
        <v>95</v>
      </c>
      <c r="D11" s="61">
        <v>0</v>
      </c>
      <c r="E11" s="61">
        <v>0</v>
      </c>
      <c r="F11" s="61">
        <v>0</v>
      </c>
      <c r="G11" s="61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9">
        <v>0.18</v>
      </c>
      <c r="Q11" s="61">
        <v>0</v>
      </c>
      <c r="R11" s="61">
        <v>0</v>
      </c>
      <c r="S11" s="61">
        <v>0</v>
      </c>
      <c r="T11" s="61">
        <v>0</v>
      </c>
    </row>
    <row r="12" spans="1:20" x14ac:dyDescent="0.2">
      <c r="A12" s="82" t="s">
        <v>97</v>
      </c>
      <c r="B12" s="36" t="s">
        <v>97</v>
      </c>
      <c r="C12" s="36" t="s">
        <v>97</v>
      </c>
      <c r="D12" s="60">
        <v>0.42</v>
      </c>
      <c r="E12" s="60">
        <v>0.6</v>
      </c>
      <c r="F12" s="60">
        <v>0.62</v>
      </c>
      <c r="G12" s="60">
        <v>0.62</v>
      </c>
      <c r="H12" s="63">
        <v>0</v>
      </c>
      <c r="I12" s="63">
        <v>0</v>
      </c>
      <c r="J12" s="63">
        <v>0.4</v>
      </c>
      <c r="K12" s="63">
        <v>0</v>
      </c>
      <c r="L12" s="63">
        <v>0</v>
      </c>
      <c r="M12" s="63">
        <v>0</v>
      </c>
      <c r="N12" s="63">
        <v>0.31999999999999995</v>
      </c>
      <c r="O12" s="63">
        <v>0.38400000000000001</v>
      </c>
      <c r="P12" s="63">
        <v>0.47799999999999998</v>
      </c>
      <c r="Q12" s="60">
        <v>0.42</v>
      </c>
      <c r="R12" s="87">
        <v>0.56000000000000005</v>
      </c>
      <c r="S12" s="87">
        <v>0.6</v>
      </c>
      <c r="T12" s="87">
        <v>0.56999999999999995</v>
      </c>
    </row>
    <row r="13" spans="1:20" x14ac:dyDescent="0.2">
      <c r="A13" s="82" t="s">
        <v>62</v>
      </c>
      <c r="B13" s="36" t="s">
        <v>62</v>
      </c>
      <c r="C13" s="36" t="s">
        <v>80</v>
      </c>
      <c r="D13" s="84">
        <v>0.37</v>
      </c>
      <c r="E13" s="84">
        <v>0.5</v>
      </c>
      <c r="F13" s="60">
        <v>0.59</v>
      </c>
      <c r="G13" s="84">
        <v>0.5902961250732357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0.32799999999999996</v>
      </c>
      <c r="O13" s="63">
        <v>0.40799999999999992</v>
      </c>
      <c r="P13" s="63">
        <v>0.55000000000000004</v>
      </c>
      <c r="Q13" s="87">
        <v>0.24</v>
      </c>
      <c r="R13" s="87">
        <v>0.41</v>
      </c>
      <c r="S13" s="87">
        <v>0.47</v>
      </c>
      <c r="T13" s="87">
        <v>0.43</v>
      </c>
    </row>
    <row r="14" spans="1:20" x14ac:dyDescent="0.2">
      <c r="A14" s="82" t="s">
        <v>151</v>
      </c>
      <c r="B14" s="36" t="s">
        <v>151</v>
      </c>
      <c r="C14" s="36" t="s">
        <v>109</v>
      </c>
      <c r="D14" s="84">
        <v>0.31</v>
      </c>
      <c r="E14" s="60">
        <v>0.45</v>
      </c>
      <c r="F14" s="60">
        <v>0.51</v>
      </c>
      <c r="G14" s="60">
        <v>0.51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7.1999999999999953E-2</v>
      </c>
      <c r="O14" s="63">
        <v>0.18399999999999994</v>
      </c>
      <c r="P14" s="63">
        <v>0.17200000000000004</v>
      </c>
      <c r="Q14" s="87">
        <v>0.28000000000000003</v>
      </c>
      <c r="R14" s="60">
        <v>0.45</v>
      </c>
      <c r="S14" s="87">
        <v>0.5</v>
      </c>
      <c r="T14" s="87">
        <v>0.46</v>
      </c>
    </row>
    <row r="15" spans="1:20" x14ac:dyDescent="0.2">
      <c r="A15" s="82" t="s">
        <v>152</v>
      </c>
      <c r="B15" s="36" t="s">
        <v>152</v>
      </c>
      <c r="C15" s="36" t="s">
        <v>110</v>
      </c>
      <c r="D15" s="61">
        <v>0</v>
      </c>
      <c r="E15" s="61">
        <v>0</v>
      </c>
      <c r="F15" s="61">
        <v>0</v>
      </c>
      <c r="G15" s="61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7.1999999999999953E-2</v>
      </c>
      <c r="O15" s="63">
        <v>0.18399999999999994</v>
      </c>
      <c r="P15" s="63">
        <v>0.17200000000000004</v>
      </c>
      <c r="Q15" s="87">
        <v>0</v>
      </c>
      <c r="R15" s="87">
        <v>0.22</v>
      </c>
      <c r="S15" s="87">
        <v>0.28999999999999998</v>
      </c>
      <c r="T15" s="87">
        <v>0.23</v>
      </c>
    </row>
    <row r="16" spans="1:20" x14ac:dyDescent="0.2">
      <c r="A16" s="82" t="s">
        <v>63</v>
      </c>
      <c r="B16" s="36" t="s">
        <v>81</v>
      </c>
      <c r="C16" s="36" t="s">
        <v>81</v>
      </c>
      <c r="D16" s="60">
        <v>0.33</v>
      </c>
      <c r="E16" s="60">
        <v>0.56000000000000005</v>
      </c>
      <c r="F16" s="60">
        <v>0.63</v>
      </c>
      <c r="G16" s="60">
        <v>0.63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0.51200000000000001</v>
      </c>
      <c r="O16" s="63">
        <v>0.55000000000000004</v>
      </c>
      <c r="P16" s="63">
        <v>0.61</v>
      </c>
      <c r="Q16" s="87">
        <v>0.22</v>
      </c>
      <c r="R16" s="87">
        <v>0.41</v>
      </c>
      <c r="S16" s="87">
        <v>0.46</v>
      </c>
      <c r="T16" s="87">
        <v>0.42</v>
      </c>
    </row>
    <row r="17" spans="1:20" x14ac:dyDescent="0.2">
      <c r="A17" s="82" t="s">
        <v>52</v>
      </c>
      <c r="B17" s="36" t="s">
        <v>52</v>
      </c>
      <c r="C17" s="36" t="s">
        <v>52</v>
      </c>
      <c r="D17" s="84">
        <v>0.5</v>
      </c>
      <c r="E17" s="84">
        <v>0.63</v>
      </c>
      <c r="F17" s="61">
        <v>0.65</v>
      </c>
      <c r="G17" s="61">
        <v>0.65</v>
      </c>
      <c r="H17" s="63">
        <v>0</v>
      </c>
      <c r="I17" s="63">
        <v>0</v>
      </c>
      <c r="J17" s="63">
        <v>0</v>
      </c>
      <c r="K17" s="63">
        <v>0.38300000000000001</v>
      </c>
      <c r="L17" s="63">
        <v>0.39700000000000002</v>
      </c>
      <c r="M17" s="63">
        <v>0.42799999999999994</v>
      </c>
      <c r="N17" s="63">
        <v>0.56000000000000005</v>
      </c>
      <c r="O17" s="63">
        <v>0.51999999999999991</v>
      </c>
      <c r="P17" s="63">
        <v>0.6</v>
      </c>
      <c r="Q17" s="60">
        <v>0.5</v>
      </c>
      <c r="R17" s="60">
        <v>0.63</v>
      </c>
      <c r="S17" s="60">
        <v>0.65</v>
      </c>
      <c r="T17" s="60">
        <v>0.65</v>
      </c>
    </row>
    <row r="18" spans="1:20" x14ac:dyDescent="0.2">
      <c r="A18" s="82" t="s">
        <v>153</v>
      </c>
      <c r="B18" s="36" t="s">
        <v>153</v>
      </c>
      <c r="C18" s="36" t="s">
        <v>113</v>
      </c>
      <c r="D18" s="60">
        <v>0.42</v>
      </c>
      <c r="E18" s="61">
        <v>0.65</v>
      </c>
      <c r="F18" s="60">
        <v>0.65</v>
      </c>
      <c r="G18" s="60">
        <v>0.65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0">
        <v>0.42</v>
      </c>
      <c r="R18" s="87">
        <v>0.6</v>
      </c>
      <c r="S18" s="60">
        <v>0.65</v>
      </c>
      <c r="T18" s="87">
        <v>0.63</v>
      </c>
    </row>
    <row r="19" spans="1:20" x14ac:dyDescent="0.2">
      <c r="A19" s="36" t="s">
        <v>154</v>
      </c>
      <c r="B19" s="36" t="s">
        <v>154</v>
      </c>
      <c r="C19" s="36" t="s">
        <v>116</v>
      </c>
      <c r="D19" s="61">
        <v>0.4</v>
      </c>
      <c r="E19" s="60">
        <v>0.65</v>
      </c>
      <c r="F19" s="60">
        <v>0.65</v>
      </c>
      <c r="G19" s="60">
        <v>0.65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87">
        <v>0.35</v>
      </c>
      <c r="R19" s="87">
        <v>0.5</v>
      </c>
      <c r="S19" s="87">
        <v>0.56000000000000005</v>
      </c>
      <c r="T19" s="87">
        <v>0.52</v>
      </c>
    </row>
    <row r="20" spans="1:20" x14ac:dyDescent="0.2">
      <c r="A20" s="36" t="s">
        <v>224</v>
      </c>
      <c r="B20" s="36" t="s">
        <v>155</v>
      </c>
      <c r="C20" s="36" t="s">
        <v>114</v>
      </c>
      <c r="D20" s="61">
        <v>0.4</v>
      </c>
      <c r="E20" s="60">
        <v>0.65</v>
      </c>
      <c r="F20" s="60">
        <v>0.65</v>
      </c>
      <c r="G20" s="60">
        <v>0.65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87">
        <v>0.35</v>
      </c>
      <c r="R20" s="87">
        <v>0.52</v>
      </c>
      <c r="S20" s="87">
        <v>0.56999999999999995</v>
      </c>
      <c r="T20" s="87">
        <v>0.54</v>
      </c>
    </row>
    <row r="21" spans="1:20" x14ac:dyDescent="0.2">
      <c r="A21" s="36" t="s">
        <v>157</v>
      </c>
      <c r="B21" s="36" t="s">
        <v>157</v>
      </c>
      <c r="C21" s="36" t="s">
        <v>115</v>
      </c>
      <c r="D21" s="61">
        <v>0.4</v>
      </c>
      <c r="E21" s="60">
        <v>0.65</v>
      </c>
      <c r="F21" s="60">
        <v>0.65</v>
      </c>
      <c r="G21" s="60">
        <v>0.65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0">
        <v>0.4</v>
      </c>
      <c r="R21" s="60">
        <v>0.65</v>
      </c>
      <c r="S21" s="60">
        <v>0.65</v>
      </c>
      <c r="T21" s="60">
        <v>0.65</v>
      </c>
    </row>
    <row r="22" spans="1:20" x14ac:dyDescent="0.2">
      <c r="A22" s="82" t="s">
        <v>225</v>
      </c>
      <c r="B22" s="36" t="s">
        <v>156</v>
      </c>
      <c r="C22" s="36" t="s">
        <v>114</v>
      </c>
      <c r="D22" s="61">
        <v>0.4</v>
      </c>
      <c r="E22" s="60">
        <v>0.52</v>
      </c>
      <c r="F22" s="61">
        <v>0.6</v>
      </c>
      <c r="G22" s="61">
        <v>0.56999999999999995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87">
        <v>0.15</v>
      </c>
      <c r="R22" s="87">
        <v>0.37</v>
      </c>
      <c r="S22" s="87">
        <v>0.43</v>
      </c>
      <c r="T22" s="87">
        <v>0.39</v>
      </c>
    </row>
    <row r="23" spans="1:20" x14ac:dyDescent="0.2">
      <c r="A23" s="36" t="s">
        <v>158</v>
      </c>
      <c r="B23" s="36" t="s">
        <v>158</v>
      </c>
      <c r="C23" s="36" t="s">
        <v>64</v>
      </c>
      <c r="D23" s="61">
        <v>0</v>
      </c>
      <c r="E23" s="61">
        <v>0</v>
      </c>
      <c r="F23" s="61">
        <v>0</v>
      </c>
      <c r="G23" s="61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1">
        <v>0</v>
      </c>
      <c r="R23" s="61">
        <v>0</v>
      </c>
      <c r="S23" s="61">
        <v>0</v>
      </c>
      <c r="T23" s="61">
        <v>0</v>
      </c>
    </row>
    <row r="24" spans="1:20" x14ac:dyDescent="0.2">
      <c r="A24" s="82" t="s">
        <v>159</v>
      </c>
      <c r="B24" s="36" t="s">
        <v>159</v>
      </c>
      <c r="C24" s="36" t="s">
        <v>65</v>
      </c>
      <c r="D24" s="84">
        <v>0.42</v>
      </c>
      <c r="E24" s="60">
        <v>0.59</v>
      </c>
      <c r="F24" s="61">
        <v>0.61</v>
      </c>
      <c r="G24" s="61">
        <v>0.61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0.40799999999999992</v>
      </c>
      <c r="O24" s="63">
        <v>0.47199999999999998</v>
      </c>
      <c r="P24" s="63">
        <v>0.54999999999999993</v>
      </c>
      <c r="Q24" s="60">
        <v>0.42</v>
      </c>
      <c r="R24" s="87">
        <v>0.55000000000000004</v>
      </c>
      <c r="S24" s="87">
        <v>0.59</v>
      </c>
      <c r="T24" s="87">
        <v>0.56999999999999995</v>
      </c>
    </row>
    <row r="25" spans="1:20" x14ac:dyDescent="0.2">
      <c r="A25" s="82" t="s">
        <v>160</v>
      </c>
      <c r="B25" s="36" t="s">
        <v>160</v>
      </c>
      <c r="C25" s="36" t="s">
        <v>66</v>
      </c>
      <c r="D25" s="84">
        <v>0.41</v>
      </c>
      <c r="E25" s="84">
        <v>0.56000000000000005</v>
      </c>
      <c r="F25" s="61">
        <v>0.62</v>
      </c>
      <c r="G25" s="61">
        <v>0.59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0.34399999999999997</v>
      </c>
      <c r="O25" s="63">
        <v>0.40799999999999992</v>
      </c>
      <c r="P25" s="63">
        <v>0.50499999999999989</v>
      </c>
      <c r="Q25" s="87">
        <v>0.28000000000000003</v>
      </c>
      <c r="R25" s="87">
        <v>0.42</v>
      </c>
      <c r="S25" s="87">
        <v>0.47</v>
      </c>
      <c r="T25" s="87">
        <v>0.44</v>
      </c>
    </row>
    <row r="26" spans="1:20" x14ac:dyDescent="0.2">
      <c r="A26" s="82" t="s">
        <v>161</v>
      </c>
      <c r="B26" s="36" t="s">
        <v>161</v>
      </c>
      <c r="C26" s="36" t="s">
        <v>67</v>
      </c>
      <c r="D26" s="84">
        <v>0.35</v>
      </c>
      <c r="E26" s="84">
        <v>0.56000000000000005</v>
      </c>
      <c r="F26" s="61">
        <v>0.61</v>
      </c>
      <c r="G26" s="61">
        <v>0.59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0.11999999999999988</v>
      </c>
      <c r="P26" s="63">
        <v>0.28000000000000003</v>
      </c>
      <c r="Q26" s="87">
        <v>0.15</v>
      </c>
      <c r="R26" s="87">
        <v>0.38</v>
      </c>
      <c r="S26" s="87">
        <v>0.45</v>
      </c>
      <c r="T26" s="87">
        <v>0.41</v>
      </c>
    </row>
    <row r="27" spans="1:20" x14ac:dyDescent="0.2">
      <c r="A27" s="82" t="s">
        <v>162</v>
      </c>
      <c r="B27" s="36" t="s">
        <v>162</v>
      </c>
      <c r="C27" s="36" t="s">
        <v>68</v>
      </c>
      <c r="D27" s="84">
        <v>0.48</v>
      </c>
      <c r="E27" s="61">
        <v>0.62</v>
      </c>
      <c r="F27" s="61">
        <v>0.62</v>
      </c>
      <c r="G27" s="61">
        <v>0.62</v>
      </c>
      <c r="H27" s="63">
        <v>0</v>
      </c>
      <c r="I27" s="63">
        <v>0</v>
      </c>
      <c r="J27" s="63">
        <v>0.3</v>
      </c>
      <c r="K27" s="63">
        <v>0</v>
      </c>
      <c r="L27" s="63">
        <v>0</v>
      </c>
      <c r="M27" s="63">
        <v>0</v>
      </c>
      <c r="N27" s="63">
        <v>0</v>
      </c>
      <c r="O27" s="63">
        <v>0.11999999999999988</v>
      </c>
      <c r="P27" s="63">
        <v>0.28000000000000003</v>
      </c>
      <c r="Q27" s="87">
        <v>0.4</v>
      </c>
      <c r="R27" s="87">
        <v>0.53</v>
      </c>
      <c r="S27" s="87">
        <v>0.59</v>
      </c>
      <c r="T27" s="87">
        <v>0.56999999999999995</v>
      </c>
    </row>
    <row r="28" spans="1:20" x14ac:dyDescent="0.2">
      <c r="A28" s="82" t="s">
        <v>98</v>
      </c>
      <c r="B28" s="36" t="s">
        <v>98</v>
      </c>
      <c r="C28" s="36" t="s">
        <v>98</v>
      </c>
      <c r="D28" s="84">
        <v>0.44</v>
      </c>
      <c r="E28" s="61">
        <v>0.59</v>
      </c>
      <c r="F28" s="60">
        <v>0.62</v>
      </c>
      <c r="G28" s="60">
        <v>0.62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0.31199999999999994</v>
      </c>
      <c r="O28" s="63">
        <v>0.3919999999999999</v>
      </c>
      <c r="P28" s="63">
        <v>0.48699999999999999</v>
      </c>
      <c r="Q28" s="87">
        <v>0.34</v>
      </c>
      <c r="R28" s="87">
        <v>0.46</v>
      </c>
      <c r="S28" s="87">
        <v>0.51</v>
      </c>
      <c r="T28" s="87">
        <v>0.47</v>
      </c>
    </row>
    <row r="29" spans="1:20" x14ac:dyDescent="0.2">
      <c r="A29" s="82" t="s">
        <v>163</v>
      </c>
      <c r="B29" s="36" t="s">
        <v>163</v>
      </c>
      <c r="C29" s="36" t="s">
        <v>11</v>
      </c>
      <c r="D29" s="60">
        <v>0.31</v>
      </c>
      <c r="E29" s="61">
        <v>0.6</v>
      </c>
      <c r="F29" s="60">
        <v>0.6</v>
      </c>
      <c r="G29" s="60">
        <v>0.6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0.16799999999999993</v>
      </c>
      <c r="P29" s="63">
        <v>0.33399999999999996</v>
      </c>
      <c r="Q29" s="87">
        <v>0.2</v>
      </c>
      <c r="R29" s="87">
        <v>0.43</v>
      </c>
      <c r="S29" s="87">
        <v>0.5</v>
      </c>
      <c r="T29" s="87">
        <v>0.46</v>
      </c>
    </row>
    <row r="30" spans="1:20" x14ac:dyDescent="0.2">
      <c r="A30" s="82" t="s">
        <v>164</v>
      </c>
      <c r="B30" s="36" t="s">
        <v>164</v>
      </c>
      <c r="C30" s="36" t="s">
        <v>13</v>
      </c>
      <c r="D30" s="60">
        <v>0.2</v>
      </c>
      <c r="E30" s="60">
        <v>0.6</v>
      </c>
      <c r="F30" s="60">
        <v>0.6</v>
      </c>
      <c r="G30" s="60">
        <v>0.6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0.1359999999999999</v>
      </c>
      <c r="O30" s="63">
        <v>0.11199999999999988</v>
      </c>
      <c r="P30" s="63">
        <v>0.27100000000000002</v>
      </c>
      <c r="Q30" s="60">
        <v>0.2</v>
      </c>
      <c r="R30" s="87">
        <v>0.52</v>
      </c>
      <c r="S30" s="87">
        <v>0.6</v>
      </c>
      <c r="T30" s="87">
        <v>0.57999999999999996</v>
      </c>
    </row>
    <row r="31" spans="1:20" x14ac:dyDescent="0.2">
      <c r="A31" s="82" t="s">
        <v>165</v>
      </c>
      <c r="B31" s="36" t="s">
        <v>165</v>
      </c>
      <c r="C31" s="36" t="s">
        <v>12</v>
      </c>
      <c r="D31" s="60">
        <v>0.31</v>
      </c>
      <c r="E31" s="60">
        <v>0.57999999999999996</v>
      </c>
      <c r="F31" s="60">
        <v>0.6</v>
      </c>
      <c r="G31" s="60">
        <v>0.6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0.1359999999999999</v>
      </c>
      <c r="O31" s="63">
        <v>0.11199999999999988</v>
      </c>
      <c r="P31" s="63">
        <v>0.27100000000000002</v>
      </c>
      <c r="Q31" s="87">
        <v>0.23</v>
      </c>
      <c r="R31" s="87">
        <v>0.45</v>
      </c>
      <c r="S31" s="87">
        <v>0.51</v>
      </c>
      <c r="T31" s="87">
        <v>0.48</v>
      </c>
    </row>
    <row r="32" spans="1:20" x14ac:dyDescent="0.2">
      <c r="A32" s="82" t="s">
        <v>166</v>
      </c>
      <c r="B32" s="36" t="s">
        <v>166</v>
      </c>
      <c r="C32" s="36" t="s">
        <v>13</v>
      </c>
      <c r="D32" s="61">
        <v>0</v>
      </c>
      <c r="E32" s="61">
        <v>0</v>
      </c>
      <c r="F32" s="61">
        <v>0</v>
      </c>
      <c r="G32" s="61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0.1359999999999999</v>
      </c>
      <c r="O32" s="63">
        <v>0.11199999999999988</v>
      </c>
      <c r="P32" s="63">
        <v>0.27100000000000002</v>
      </c>
      <c r="Q32" s="61">
        <v>0</v>
      </c>
      <c r="R32" s="61">
        <v>0</v>
      </c>
      <c r="S32" s="61">
        <v>0</v>
      </c>
      <c r="T32" s="61">
        <v>0</v>
      </c>
    </row>
    <row r="33" spans="1:20" x14ac:dyDescent="0.2">
      <c r="A33" s="82" t="s">
        <v>167</v>
      </c>
      <c r="B33" s="36" t="s">
        <v>167</v>
      </c>
      <c r="C33" s="36" t="s">
        <v>14</v>
      </c>
      <c r="D33" s="61">
        <v>0</v>
      </c>
      <c r="E33" s="61">
        <v>0</v>
      </c>
      <c r="F33" s="61">
        <v>0</v>
      </c>
      <c r="G33" s="61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0.127</v>
      </c>
      <c r="Q33" s="61">
        <v>0</v>
      </c>
      <c r="R33" s="61">
        <v>0</v>
      </c>
      <c r="S33" s="61">
        <v>0</v>
      </c>
      <c r="T33" s="61">
        <v>0</v>
      </c>
    </row>
    <row r="34" spans="1:20" x14ac:dyDescent="0.2">
      <c r="A34" s="82" t="s">
        <v>168</v>
      </c>
      <c r="B34" s="36" t="s">
        <v>168</v>
      </c>
      <c r="C34" s="36" t="s">
        <v>15</v>
      </c>
      <c r="D34" s="61">
        <v>0</v>
      </c>
      <c r="E34" s="61">
        <v>0</v>
      </c>
      <c r="F34" s="61">
        <v>0</v>
      </c>
      <c r="G34" s="61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0.127</v>
      </c>
      <c r="Q34" s="61">
        <v>0</v>
      </c>
      <c r="R34" s="61">
        <v>0</v>
      </c>
      <c r="S34" s="61">
        <v>0</v>
      </c>
      <c r="T34" s="61">
        <v>0</v>
      </c>
    </row>
    <row r="35" spans="1:20" x14ac:dyDescent="0.2">
      <c r="A35" s="82" t="s">
        <v>169</v>
      </c>
      <c r="B35" s="36" t="s">
        <v>169</v>
      </c>
      <c r="C35" s="36" t="s">
        <v>16</v>
      </c>
      <c r="D35" s="61">
        <v>0</v>
      </c>
      <c r="E35" s="61">
        <v>0</v>
      </c>
      <c r="F35" s="61">
        <v>0</v>
      </c>
      <c r="G35" s="61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0.127</v>
      </c>
      <c r="Q35" s="61">
        <v>0</v>
      </c>
      <c r="R35" s="61">
        <v>0</v>
      </c>
      <c r="S35" s="61">
        <v>0</v>
      </c>
      <c r="T35" s="61">
        <v>0</v>
      </c>
    </row>
    <row r="36" spans="1:20" x14ac:dyDescent="0.2">
      <c r="A36" s="82" t="s">
        <v>170</v>
      </c>
      <c r="B36" s="36" t="s">
        <v>170</v>
      </c>
      <c r="C36" s="36" t="s">
        <v>16</v>
      </c>
      <c r="D36" s="61">
        <v>0</v>
      </c>
      <c r="E36" s="61">
        <v>0</v>
      </c>
      <c r="F36" s="61">
        <v>0</v>
      </c>
      <c r="G36" s="61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0.127</v>
      </c>
      <c r="Q36" s="61">
        <v>0</v>
      </c>
      <c r="R36" s="61">
        <v>0</v>
      </c>
      <c r="S36" s="61">
        <v>0</v>
      </c>
      <c r="T36" s="61">
        <v>0</v>
      </c>
    </row>
    <row r="37" spans="1:20" x14ac:dyDescent="0.2">
      <c r="A37" s="82" t="s">
        <v>171</v>
      </c>
      <c r="B37" s="36" t="s">
        <v>171</v>
      </c>
      <c r="C37" s="36" t="s">
        <v>53</v>
      </c>
      <c r="D37" s="60">
        <v>0.27</v>
      </c>
      <c r="E37" s="60">
        <v>0.42</v>
      </c>
      <c r="F37" s="60">
        <v>0.41</v>
      </c>
      <c r="G37" s="60">
        <v>0.41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0.26400000000000001</v>
      </c>
      <c r="P37" s="63">
        <v>0.379</v>
      </c>
      <c r="Q37" s="61">
        <v>0</v>
      </c>
      <c r="R37" s="61">
        <v>0</v>
      </c>
      <c r="S37" s="61">
        <v>0</v>
      </c>
      <c r="T37" s="61">
        <v>0</v>
      </c>
    </row>
    <row r="38" spans="1:20" x14ac:dyDescent="0.2">
      <c r="A38" s="82" t="s">
        <v>172</v>
      </c>
      <c r="B38" s="36" t="s">
        <v>172</v>
      </c>
      <c r="C38" s="36" t="s">
        <v>55</v>
      </c>
      <c r="D38" s="61">
        <v>0</v>
      </c>
      <c r="E38" s="61">
        <v>0</v>
      </c>
      <c r="F38" s="61">
        <v>0</v>
      </c>
      <c r="G38" s="61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0.26400000000000001</v>
      </c>
      <c r="P38" s="63">
        <v>0.379</v>
      </c>
      <c r="Q38" s="61">
        <v>0</v>
      </c>
      <c r="R38" s="61">
        <v>0</v>
      </c>
      <c r="S38" s="61">
        <v>0</v>
      </c>
      <c r="T38" s="61">
        <v>0</v>
      </c>
    </row>
    <row r="39" spans="1:20" x14ac:dyDescent="0.2">
      <c r="A39" s="82" t="s">
        <v>173</v>
      </c>
      <c r="B39" s="36" t="s">
        <v>173</v>
      </c>
      <c r="C39" s="36" t="s">
        <v>56</v>
      </c>
      <c r="D39" s="61">
        <v>0</v>
      </c>
      <c r="E39" s="61">
        <v>0</v>
      </c>
      <c r="F39" s="61">
        <v>0</v>
      </c>
      <c r="G39" s="61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0.26400000000000001</v>
      </c>
      <c r="P39" s="63">
        <v>0.379</v>
      </c>
      <c r="Q39" s="61">
        <v>0</v>
      </c>
      <c r="R39" s="61">
        <v>0</v>
      </c>
      <c r="S39" s="61">
        <v>0</v>
      </c>
      <c r="T39" s="61">
        <v>0</v>
      </c>
    </row>
    <row r="40" spans="1:20" x14ac:dyDescent="0.2">
      <c r="A40" s="82" t="s">
        <v>174</v>
      </c>
      <c r="B40" s="36" t="s">
        <v>174</v>
      </c>
      <c r="C40" s="36" t="s">
        <v>57</v>
      </c>
      <c r="D40" s="60">
        <v>0.5</v>
      </c>
      <c r="E40" s="60">
        <v>0.7</v>
      </c>
      <c r="F40" s="60">
        <v>0.70199999999999996</v>
      </c>
      <c r="G40" s="60">
        <v>0.7</v>
      </c>
      <c r="H40" s="63">
        <v>0</v>
      </c>
      <c r="I40" s="63">
        <v>0</v>
      </c>
      <c r="J40" s="63">
        <v>0.4</v>
      </c>
      <c r="K40" s="63">
        <v>0.23599999999999999</v>
      </c>
      <c r="L40" s="63">
        <v>0.32000000000000006</v>
      </c>
      <c r="M40" s="63">
        <v>0.41999999999999993</v>
      </c>
      <c r="N40" s="63">
        <v>0.51200000000000001</v>
      </c>
      <c r="O40" s="63">
        <v>0.51200000000000001</v>
      </c>
      <c r="P40" s="63">
        <v>0.54999999999999993</v>
      </c>
      <c r="Q40" s="60">
        <v>0.5</v>
      </c>
      <c r="R40" s="87">
        <v>0.65</v>
      </c>
      <c r="S40" s="88">
        <v>0.68</v>
      </c>
      <c r="T40" s="88">
        <v>0.68</v>
      </c>
    </row>
    <row r="41" spans="1:20" x14ac:dyDescent="0.2">
      <c r="A41" s="82" t="s">
        <v>175</v>
      </c>
      <c r="B41" s="36" t="s">
        <v>175</v>
      </c>
      <c r="C41" s="36" t="s">
        <v>61</v>
      </c>
      <c r="D41" s="60">
        <v>0.5</v>
      </c>
      <c r="E41" s="60">
        <v>0.7</v>
      </c>
      <c r="F41" s="60">
        <v>0.70199999999999996</v>
      </c>
      <c r="G41" s="60">
        <v>0.7</v>
      </c>
      <c r="H41" s="63">
        <v>0</v>
      </c>
      <c r="I41" s="63">
        <v>0</v>
      </c>
      <c r="J41" s="63">
        <v>0.4</v>
      </c>
      <c r="K41" s="63">
        <v>0.23599999999999999</v>
      </c>
      <c r="L41" s="63">
        <v>0.32000000000000006</v>
      </c>
      <c r="M41" s="63">
        <v>0.41999999999999993</v>
      </c>
      <c r="N41" s="63">
        <v>0.51200000000000001</v>
      </c>
      <c r="O41" s="63">
        <v>0.51200000000000001</v>
      </c>
      <c r="P41" s="63">
        <v>0.54999999999999993</v>
      </c>
      <c r="Q41" s="60">
        <v>0.5</v>
      </c>
      <c r="R41" s="87">
        <v>0.65</v>
      </c>
      <c r="S41" s="88">
        <v>0.68</v>
      </c>
      <c r="T41" s="88">
        <v>0.68</v>
      </c>
    </row>
    <row r="42" spans="1:20" x14ac:dyDescent="0.2">
      <c r="A42" s="82" t="s">
        <v>176</v>
      </c>
      <c r="B42" s="36" t="s">
        <v>176</v>
      </c>
      <c r="C42" s="36" t="s">
        <v>59</v>
      </c>
      <c r="D42" s="60">
        <v>0.37</v>
      </c>
      <c r="E42" s="60">
        <v>0.64</v>
      </c>
      <c r="F42" s="60">
        <v>0.69</v>
      </c>
      <c r="G42" s="60">
        <v>0.67</v>
      </c>
      <c r="H42" s="63">
        <v>0</v>
      </c>
      <c r="I42" s="63">
        <v>0</v>
      </c>
      <c r="J42" s="63">
        <v>0.4</v>
      </c>
      <c r="K42" s="63">
        <v>0</v>
      </c>
      <c r="L42" s="63">
        <v>0</v>
      </c>
      <c r="M42" s="63">
        <v>0</v>
      </c>
      <c r="N42" s="63">
        <v>0.51200000000000001</v>
      </c>
      <c r="O42" s="63">
        <v>0.51200000000000001</v>
      </c>
      <c r="P42" s="63">
        <v>0.54999999999999993</v>
      </c>
      <c r="Q42" s="87">
        <v>0.35</v>
      </c>
      <c r="R42" s="87">
        <v>0.5</v>
      </c>
      <c r="S42" s="87">
        <v>0.55000000000000004</v>
      </c>
      <c r="T42" s="87">
        <v>0.5</v>
      </c>
    </row>
    <row r="43" spans="1:20" x14ac:dyDescent="0.2">
      <c r="A43" s="82" t="s">
        <v>177</v>
      </c>
      <c r="B43" s="36" t="s">
        <v>177</v>
      </c>
      <c r="C43" s="36" t="s">
        <v>60</v>
      </c>
      <c r="D43" s="60">
        <v>0.37</v>
      </c>
      <c r="E43" s="60">
        <v>0.64</v>
      </c>
      <c r="F43" s="60">
        <v>0.69</v>
      </c>
      <c r="G43" s="60">
        <v>0.67</v>
      </c>
      <c r="H43" s="63">
        <v>0</v>
      </c>
      <c r="I43" s="63">
        <v>0</v>
      </c>
      <c r="J43" s="63">
        <v>0.4</v>
      </c>
      <c r="K43" s="63">
        <v>0</v>
      </c>
      <c r="L43" s="63">
        <v>0</v>
      </c>
      <c r="M43" s="63">
        <v>0</v>
      </c>
      <c r="N43" s="63">
        <v>0.51200000000000001</v>
      </c>
      <c r="O43" s="63">
        <v>0.51200000000000001</v>
      </c>
      <c r="P43" s="63">
        <v>0.54999999999999993</v>
      </c>
      <c r="Q43" s="60">
        <v>0.37</v>
      </c>
      <c r="R43" s="87">
        <v>0.65</v>
      </c>
      <c r="S43" s="87">
        <v>0.68</v>
      </c>
      <c r="T43" s="87">
        <v>0.68</v>
      </c>
    </row>
    <row r="44" spans="1:20" x14ac:dyDescent="0.2">
      <c r="A44" s="82" t="s">
        <v>178</v>
      </c>
      <c r="B44" s="36" t="s">
        <v>178</v>
      </c>
      <c r="C44" s="36" t="s">
        <v>60</v>
      </c>
      <c r="D44" s="60">
        <v>0.37</v>
      </c>
      <c r="E44" s="60">
        <v>0.64</v>
      </c>
      <c r="F44" s="60">
        <v>0.69</v>
      </c>
      <c r="G44" s="60">
        <v>0.67</v>
      </c>
      <c r="H44" s="63">
        <v>0</v>
      </c>
      <c r="I44" s="63">
        <v>0</v>
      </c>
      <c r="J44" s="63">
        <v>0.4</v>
      </c>
      <c r="K44" s="63">
        <v>0</v>
      </c>
      <c r="L44" s="63">
        <v>0</v>
      </c>
      <c r="M44" s="63">
        <v>0</v>
      </c>
      <c r="N44" s="63">
        <v>0.51200000000000001</v>
      </c>
      <c r="O44" s="63">
        <v>0.51200000000000001</v>
      </c>
      <c r="P44" s="63">
        <v>0.54999999999999993</v>
      </c>
      <c r="Q44" s="60">
        <v>0.37</v>
      </c>
      <c r="R44" s="87">
        <v>0.5</v>
      </c>
      <c r="S44" s="87">
        <v>0.56999999999999995</v>
      </c>
      <c r="T44" s="87">
        <v>0.54</v>
      </c>
    </row>
    <row r="45" spans="1:20" x14ac:dyDescent="0.2">
      <c r="A45" s="82" t="s">
        <v>179</v>
      </c>
      <c r="B45" s="36" t="s">
        <v>179</v>
      </c>
      <c r="C45" s="36" t="s">
        <v>60</v>
      </c>
      <c r="D45" s="60">
        <v>0.37</v>
      </c>
      <c r="E45" s="61">
        <v>0.5</v>
      </c>
      <c r="F45" s="60">
        <v>0.51</v>
      </c>
      <c r="G45" s="60">
        <v>0.51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0.51200000000000001</v>
      </c>
      <c r="O45" s="63">
        <v>0.51200000000000001</v>
      </c>
      <c r="P45" s="63">
        <v>0.54999999999999993</v>
      </c>
      <c r="Q45" s="87">
        <v>0.15</v>
      </c>
      <c r="R45" s="87">
        <v>0.35</v>
      </c>
      <c r="S45" s="87">
        <v>0.4</v>
      </c>
      <c r="T45" s="87">
        <v>0.37</v>
      </c>
    </row>
    <row r="46" spans="1:20" x14ac:dyDescent="0.2">
      <c r="A46" s="82" t="s">
        <v>99</v>
      </c>
      <c r="B46" s="36" t="s">
        <v>99</v>
      </c>
      <c r="C46" s="36" t="s">
        <v>99</v>
      </c>
      <c r="D46" s="61">
        <v>0</v>
      </c>
      <c r="E46" s="61">
        <v>0</v>
      </c>
      <c r="F46" s="61">
        <v>0</v>
      </c>
      <c r="G46" s="61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0.11199999999999988</v>
      </c>
      <c r="P46" s="63">
        <v>0.35199999999999998</v>
      </c>
      <c r="Q46" s="61">
        <v>0</v>
      </c>
      <c r="R46" s="61">
        <v>0</v>
      </c>
      <c r="S46" s="61">
        <v>0</v>
      </c>
      <c r="T46" s="61">
        <v>0</v>
      </c>
    </row>
    <row r="47" spans="1:20" x14ac:dyDescent="0.2">
      <c r="A47" s="82" t="s">
        <v>100</v>
      </c>
      <c r="B47" s="36" t="s">
        <v>100</v>
      </c>
      <c r="C47" s="36" t="s">
        <v>100</v>
      </c>
      <c r="D47" s="60">
        <v>0.32</v>
      </c>
      <c r="E47" s="60">
        <v>0.32</v>
      </c>
      <c r="F47" s="60">
        <v>0.4101999999999999</v>
      </c>
      <c r="G47" s="60">
        <v>0.4101999999999999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0.23999999999999988</v>
      </c>
      <c r="O47" s="63">
        <v>0.44799999999999995</v>
      </c>
      <c r="P47" s="63">
        <v>0.38800000000000001</v>
      </c>
      <c r="Q47" s="87">
        <v>0.15</v>
      </c>
      <c r="R47" s="60">
        <v>0.32</v>
      </c>
      <c r="S47" s="60">
        <v>0.4101999999999999</v>
      </c>
      <c r="T47" s="87">
        <v>0.38</v>
      </c>
    </row>
    <row r="48" spans="1:20" x14ac:dyDescent="0.2">
      <c r="A48" s="82" t="s">
        <v>101</v>
      </c>
      <c r="B48" s="36" t="s">
        <v>101</v>
      </c>
      <c r="C48" s="36" t="s">
        <v>101</v>
      </c>
      <c r="D48" s="60">
        <v>0.35</v>
      </c>
      <c r="E48" s="60">
        <v>0.34</v>
      </c>
      <c r="F48" s="60">
        <v>0.48</v>
      </c>
      <c r="G48" s="60">
        <v>0.48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0.11999999999999988</v>
      </c>
      <c r="P48" s="63">
        <v>0.23499999999999999</v>
      </c>
      <c r="Q48" s="87">
        <v>0.15</v>
      </c>
      <c r="R48" s="60">
        <v>0.34</v>
      </c>
      <c r="S48" s="87">
        <v>0.42</v>
      </c>
      <c r="T48" s="87">
        <v>0.38</v>
      </c>
    </row>
    <row r="49" spans="1:20" x14ac:dyDescent="0.2">
      <c r="A49" s="36" t="s">
        <v>102</v>
      </c>
      <c r="B49" s="36" t="s">
        <v>102</v>
      </c>
      <c r="C49" s="36" t="s">
        <v>102</v>
      </c>
      <c r="D49" s="61">
        <v>0</v>
      </c>
      <c r="E49" s="61">
        <v>0</v>
      </c>
      <c r="F49" s="61">
        <v>0</v>
      </c>
      <c r="G49" s="61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1">
        <v>0</v>
      </c>
      <c r="R49" s="61">
        <v>0</v>
      </c>
      <c r="S49" s="61">
        <v>0</v>
      </c>
      <c r="T49" s="61">
        <v>0</v>
      </c>
    </row>
    <row r="50" spans="1:20" x14ac:dyDescent="0.2">
      <c r="A50" s="82" t="s">
        <v>180</v>
      </c>
      <c r="B50" s="36" t="s">
        <v>180</v>
      </c>
      <c r="C50" s="36" t="s">
        <v>103</v>
      </c>
      <c r="D50" s="84">
        <v>0.3</v>
      </c>
      <c r="E50" s="60">
        <v>0.46831405166852369</v>
      </c>
      <c r="F50" s="60">
        <v>0.52553268319621493</v>
      </c>
      <c r="G50" s="60">
        <v>0.49047594613204581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0.26400000000000001</v>
      </c>
      <c r="O50" s="63">
        <v>0.3919999999999999</v>
      </c>
      <c r="P50" s="63">
        <v>0.49599999999999994</v>
      </c>
      <c r="Q50" s="87">
        <v>0</v>
      </c>
      <c r="R50" s="87">
        <v>0.25</v>
      </c>
      <c r="S50" s="87">
        <v>0.32</v>
      </c>
      <c r="T50" s="87">
        <v>0.27</v>
      </c>
    </row>
    <row r="51" spans="1:20" x14ac:dyDescent="0.2">
      <c r="A51" s="82" t="s">
        <v>181</v>
      </c>
      <c r="B51" s="36" t="s">
        <v>181</v>
      </c>
      <c r="C51" s="36" t="s">
        <v>104</v>
      </c>
      <c r="D51" s="60">
        <v>0.38</v>
      </c>
      <c r="E51" s="60">
        <v>0.51760158645053422</v>
      </c>
      <c r="F51" s="60">
        <v>0.56967874606088031</v>
      </c>
      <c r="G51" s="60">
        <v>0.53768899690271776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0.26400000000000001</v>
      </c>
      <c r="O51" s="63">
        <v>0.3919999999999999</v>
      </c>
      <c r="P51" s="63">
        <v>0.49599999999999994</v>
      </c>
      <c r="Q51" s="87">
        <v>0.15</v>
      </c>
      <c r="R51" s="87">
        <v>0.35</v>
      </c>
      <c r="S51" s="87">
        <v>0.41</v>
      </c>
      <c r="T51" s="87">
        <v>0.36</v>
      </c>
    </row>
    <row r="52" spans="1:20" x14ac:dyDescent="0.2">
      <c r="A52" s="82" t="s">
        <v>182</v>
      </c>
      <c r="B52" s="36" t="s">
        <v>182</v>
      </c>
      <c r="C52" s="36" t="s">
        <v>104</v>
      </c>
      <c r="D52" s="61">
        <v>0</v>
      </c>
      <c r="E52" s="61">
        <v>0</v>
      </c>
      <c r="F52" s="61">
        <v>0</v>
      </c>
      <c r="G52" s="61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0.26400000000000001</v>
      </c>
      <c r="O52" s="63">
        <v>0.3919999999999999</v>
      </c>
      <c r="P52" s="63">
        <v>0.49599999999999994</v>
      </c>
      <c r="Q52" s="61">
        <v>0</v>
      </c>
      <c r="R52" s="61">
        <v>0</v>
      </c>
      <c r="S52" s="61">
        <v>0</v>
      </c>
      <c r="T52" s="61">
        <v>0</v>
      </c>
    </row>
    <row r="53" spans="1:20" x14ac:dyDescent="0.2">
      <c r="A53" s="36" t="s">
        <v>226</v>
      </c>
      <c r="B53" s="36" t="s">
        <v>183</v>
      </c>
      <c r="C53" s="36" t="s">
        <v>69</v>
      </c>
      <c r="D53" s="60">
        <v>0.37</v>
      </c>
      <c r="E53" s="60">
        <v>0.45</v>
      </c>
      <c r="F53" s="60">
        <v>0.57999999999999996</v>
      </c>
      <c r="G53" s="60">
        <v>0.57999999999999996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0">
        <v>0.37</v>
      </c>
      <c r="R53" s="60">
        <v>0.54166562184953626</v>
      </c>
      <c r="S53" s="60">
        <v>0.59225805897141581</v>
      </c>
      <c r="T53" s="60">
        <v>0.56302185369974722</v>
      </c>
    </row>
    <row r="54" spans="1:20" x14ac:dyDescent="0.2">
      <c r="A54" s="36" t="s">
        <v>183</v>
      </c>
      <c r="B54" s="36" t="s">
        <v>183</v>
      </c>
      <c r="C54" s="36" t="s">
        <v>69</v>
      </c>
      <c r="D54" s="60">
        <v>0.37</v>
      </c>
      <c r="E54" s="84">
        <v>0.6</v>
      </c>
      <c r="F54" s="84">
        <v>0.6</v>
      </c>
      <c r="G54" s="84">
        <v>0.6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0">
        <v>0.37</v>
      </c>
      <c r="R54" s="87">
        <v>0.51</v>
      </c>
      <c r="S54" s="87">
        <v>0.56000000000000005</v>
      </c>
      <c r="T54" s="87">
        <v>0.53</v>
      </c>
    </row>
    <row r="55" spans="1:20" x14ac:dyDescent="0.2">
      <c r="A55" s="82" t="s">
        <v>184</v>
      </c>
      <c r="B55" s="36" t="s">
        <v>184</v>
      </c>
      <c r="C55" s="36" t="s">
        <v>70</v>
      </c>
      <c r="D55" s="60">
        <v>0.26</v>
      </c>
      <c r="E55" s="60">
        <v>0.41188868390948863</v>
      </c>
      <c r="F55" s="60">
        <v>0.4712954902687736</v>
      </c>
      <c r="G55" s="60">
        <v>0.42819826857452548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0.39999999999999991</v>
      </c>
      <c r="O55" s="63">
        <v>0.43199999999999994</v>
      </c>
      <c r="P55" s="63">
        <v>0.54999999999999993</v>
      </c>
      <c r="Q55" s="61">
        <v>0</v>
      </c>
      <c r="R55" s="61">
        <v>0</v>
      </c>
      <c r="S55" s="61">
        <v>0</v>
      </c>
      <c r="T55" s="61">
        <v>0</v>
      </c>
    </row>
    <row r="56" spans="1:20" x14ac:dyDescent="0.2">
      <c r="A56" s="82" t="s">
        <v>185</v>
      </c>
      <c r="B56" s="36" t="s">
        <v>185</v>
      </c>
      <c r="C56" s="36" t="s">
        <v>186</v>
      </c>
      <c r="D56" s="60">
        <v>0.45</v>
      </c>
      <c r="E56" s="61">
        <v>0.57999999999999996</v>
      </c>
      <c r="F56" s="61">
        <v>0.57999999999999996</v>
      </c>
      <c r="G56" s="61">
        <v>0.57999999999999996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0.25600000000000001</v>
      </c>
      <c r="O56" s="63">
        <v>0.248</v>
      </c>
      <c r="P56" s="63">
        <v>0.36099999999999999</v>
      </c>
      <c r="Q56" s="61">
        <v>0</v>
      </c>
      <c r="R56" s="61">
        <v>0</v>
      </c>
      <c r="S56" s="61">
        <v>0</v>
      </c>
      <c r="T56" s="61">
        <v>0</v>
      </c>
    </row>
    <row r="57" spans="1:20" x14ac:dyDescent="0.2">
      <c r="A57" s="82" t="s">
        <v>187</v>
      </c>
      <c r="B57" s="36" t="s">
        <v>187</v>
      </c>
      <c r="C57" s="36" t="s">
        <v>186</v>
      </c>
      <c r="D57" s="60">
        <v>0.1</v>
      </c>
      <c r="E57" s="60">
        <v>0.05</v>
      </c>
      <c r="F57" s="60">
        <v>0.23</v>
      </c>
      <c r="G57" s="60">
        <v>0.23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9">
        <v>0</v>
      </c>
      <c r="O57" s="69">
        <v>0.15</v>
      </c>
      <c r="P57" s="69">
        <v>0.28999999999999998</v>
      </c>
      <c r="Q57" s="61">
        <v>0</v>
      </c>
      <c r="R57" s="61">
        <v>0</v>
      </c>
      <c r="S57" s="61">
        <v>0</v>
      </c>
      <c r="T57" s="61">
        <v>0</v>
      </c>
    </row>
    <row r="58" spans="1:20" x14ac:dyDescent="0.2">
      <c r="A58" s="82" t="s">
        <v>227</v>
      </c>
      <c r="B58" s="36" t="s">
        <v>189</v>
      </c>
      <c r="C58" s="36" t="s">
        <v>73</v>
      </c>
      <c r="D58" s="60">
        <v>0.22</v>
      </c>
      <c r="E58" s="60">
        <v>0.22</v>
      </c>
      <c r="F58" s="84">
        <v>0.57999999999999996</v>
      </c>
      <c r="G58" s="84">
        <v>0.57999999999999996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0.12799999999999989</v>
      </c>
      <c r="P58" s="63">
        <v>0.253</v>
      </c>
      <c r="Q58" s="61">
        <v>0</v>
      </c>
      <c r="R58" s="61">
        <v>0</v>
      </c>
      <c r="S58" s="61">
        <v>0</v>
      </c>
      <c r="T58" s="61">
        <v>0</v>
      </c>
    </row>
    <row r="59" spans="1:20" x14ac:dyDescent="0.2">
      <c r="A59" s="82" t="s">
        <v>189</v>
      </c>
      <c r="B59" s="36" t="s">
        <v>189</v>
      </c>
      <c r="C59" s="36" t="s">
        <v>73</v>
      </c>
      <c r="D59" s="61">
        <v>0</v>
      </c>
      <c r="E59" s="61">
        <v>0</v>
      </c>
      <c r="F59" s="61">
        <v>0</v>
      </c>
      <c r="G59" s="61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0.12799999999999989</v>
      </c>
      <c r="P59" s="63">
        <v>0.253</v>
      </c>
      <c r="Q59" s="61">
        <v>0</v>
      </c>
      <c r="R59" s="61">
        <v>0</v>
      </c>
      <c r="S59" s="61">
        <v>0</v>
      </c>
      <c r="T59" s="61">
        <v>0</v>
      </c>
    </row>
    <row r="60" spans="1:20" x14ac:dyDescent="0.2">
      <c r="A60" s="82" t="s">
        <v>105</v>
      </c>
      <c r="B60" s="36" t="s">
        <v>105</v>
      </c>
      <c r="C60" s="36" t="s">
        <v>105</v>
      </c>
      <c r="D60" s="60">
        <v>0.2</v>
      </c>
      <c r="E60" s="60">
        <v>0.21</v>
      </c>
      <c r="F60" s="60">
        <v>0.34</v>
      </c>
      <c r="G60" s="60">
        <v>0.34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0.45599999999999996</v>
      </c>
      <c r="O60" s="63">
        <v>0.51200000000000001</v>
      </c>
      <c r="P60" s="63">
        <v>0.54999999999999993</v>
      </c>
      <c r="Q60" s="61">
        <v>0</v>
      </c>
      <c r="R60" s="61">
        <v>0</v>
      </c>
      <c r="S60" s="61">
        <v>0</v>
      </c>
      <c r="T60" s="61">
        <v>0</v>
      </c>
    </row>
    <row r="61" spans="1:20" x14ac:dyDescent="0.2">
      <c r="A61" s="82" t="s">
        <v>190</v>
      </c>
      <c r="B61" s="36" t="s">
        <v>190</v>
      </c>
      <c r="C61" s="36" t="s">
        <v>17</v>
      </c>
      <c r="D61" s="60">
        <v>0.2</v>
      </c>
      <c r="E61" s="60">
        <v>0.3</v>
      </c>
      <c r="F61" s="60">
        <v>0.6</v>
      </c>
      <c r="G61" s="60">
        <v>0.6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5.5000000000000049E-2</v>
      </c>
      <c r="Q61" s="61">
        <v>0</v>
      </c>
      <c r="R61" s="61">
        <v>0</v>
      </c>
      <c r="S61" s="61">
        <v>0</v>
      </c>
      <c r="T61" s="61">
        <v>0</v>
      </c>
    </row>
    <row r="62" spans="1:20" x14ac:dyDescent="0.2">
      <c r="A62" s="82" t="s">
        <v>191</v>
      </c>
      <c r="B62" s="36" t="s">
        <v>191</v>
      </c>
      <c r="C62" s="36" t="s">
        <v>18</v>
      </c>
      <c r="D62" s="60">
        <v>0.1</v>
      </c>
      <c r="E62" s="60">
        <v>0.53</v>
      </c>
      <c r="F62" s="60">
        <v>0.55000000000000004</v>
      </c>
      <c r="G62" s="60">
        <v>0.55000000000000004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5.5000000000000049E-2</v>
      </c>
      <c r="Q62" s="61">
        <v>0</v>
      </c>
      <c r="R62" s="61">
        <v>0</v>
      </c>
      <c r="S62" s="61">
        <v>0</v>
      </c>
      <c r="T62" s="61">
        <v>0</v>
      </c>
    </row>
    <row r="63" spans="1:20" x14ac:dyDescent="0.2">
      <c r="A63" s="82" t="s">
        <v>192</v>
      </c>
      <c r="B63" s="36" t="s">
        <v>192</v>
      </c>
      <c r="C63" s="36" t="s">
        <v>18</v>
      </c>
      <c r="D63" s="61">
        <v>0</v>
      </c>
      <c r="E63" s="61">
        <v>0</v>
      </c>
      <c r="F63" s="61">
        <v>0</v>
      </c>
      <c r="G63" s="61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5.5000000000000049E-2</v>
      </c>
      <c r="Q63" s="61">
        <v>0</v>
      </c>
      <c r="R63" s="61">
        <v>0</v>
      </c>
      <c r="S63" s="61">
        <v>0</v>
      </c>
      <c r="T63" s="61">
        <v>0</v>
      </c>
    </row>
    <row r="64" spans="1:20" x14ac:dyDescent="0.2">
      <c r="A64" s="82" t="s">
        <v>228</v>
      </c>
      <c r="B64" s="36" t="s">
        <v>192</v>
      </c>
      <c r="C64" s="36" t="s">
        <v>18</v>
      </c>
      <c r="D64" s="60">
        <v>0.1</v>
      </c>
      <c r="E64" s="60">
        <v>0.24</v>
      </c>
      <c r="F64" s="60">
        <v>0.35</v>
      </c>
      <c r="G64" s="60">
        <v>0.35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5.5000000000000049E-2</v>
      </c>
      <c r="Q64" s="61">
        <v>0</v>
      </c>
      <c r="R64" s="61">
        <v>0</v>
      </c>
      <c r="S64" s="61">
        <v>0</v>
      </c>
      <c r="T64" s="61">
        <v>0</v>
      </c>
    </row>
    <row r="65" spans="1:20" x14ac:dyDescent="0.2">
      <c r="A65" s="82" t="s">
        <v>193</v>
      </c>
      <c r="B65" s="36" t="s">
        <v>193</v>
      </c>
      <c r="C65" s="36" t="s">
        <v>19</v>
      </c>
      <c r="D65" s="61">
        <v>0.3</v>
      </c>
      <c r="E65" s="60">
        <v>0.61</v>
      </c>
      <c r="F65" s="60">
        <v>0.61</v>
      </c>
      <c r="G65" s="60">
        <v>0.61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0.376</v>
      </c>
      <c r="O65" s="63">
        <v>0.40799999999999992</v>
      </c>
      <c r="P65" s="63">
        <v>0.51400000000000001</v>
      </c>
      <c r="Q65" s="60">
        <v>0.3</v>
      </c>
      <c r="R65" s="87">
        <v>0.53</v>
      </c>
      <c r="S65" s="87">
        <v>0.57999999999999996</v>
      </c>
      <c r="T65" s="87">
        <v>0.55000000000000004</v>
      </c>
    </row>
    <row r="66" spans="1:20" x14ac:dyDescent="0.2">
      <c r="A66" s="82" t="s">
        <v>229</v>
      </c>
      <c r="B66" s="36" t="s">
        <v>194</v>
      </c>
      <c r="C66" s="36" t="s">
        <v>20</v>
      </c>
      <c r="D66" s="60">
        <v>0</v>
      </c>
      <c r="E66" s="60">
        <v>0</v>
      </c>
      <c r="F66" s="60">
        <v>0</v>
      </c>
      <c r="G66" s="60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0.376</v>
      </c>
      <c r="O66" s="63">
        <v>0.40799999999999992</v>
      </c>
      <c r="P66" s="63">
        <v>0.6</v>
      </c>
      <c r="Q66" s="60">
        <v>0</v>
      </c>
      <c r="R66" s="60">
        <v>0</v>
      </c>
      <c r="S66" s="60">
        <v>0</v>
      </c>
      <c r="T66" s="60">
        <v>0</v>
      </c>
    </row>
    <row r="67" spans="1:20" x14ac:dyDescent="0.2">
      <c r="A67" s="82" t="s">
        <v>230</v>
      </c>
      <c r="B67" s="36" t="s">
        <v>194</v>
      </c>
      <c r="C67" s="36" t="s">
        <v>20</v>
      </c>
      <c r="D67" s="61">
        <v>0</v>
      </c>
      <c r="E67" s="61">
        <v>0</v>
      </c>
      <c r="F67" s="61">
        <v>0</v>
      </c>
      <c r="G67" s="61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0.376</v>
      </c>
      <c r="O67" s="63">
        <v>0.40799999999999992</v>
      </c>
      <c r="P67" s="63">
        <v>0.6</v>
      </c>
      <c r="Q67" s="61">
        <v>0</v>
      </c>
      <c r="R67" s="61">
        <v>0</v>
      </c>
      <c r="S67" s="61">
        <v>0</v>
      </c>
      <c r="T67" s="61">
        <v>0</v>
      </c>
    </row>
    <row r="68" spans="1:20" x14ac:dyDescent="0.2">
      <c r="A68" s="82" t="s">
        <v>106</v>
      </c>
      <c r="B68" s="36" t="s">
        <v>106</v>
      </c>
      <c r="C68" s="36" t="s">
        <v>106</v>
      </c>
      <c r="D68" s="60">
        <v>0</v>
      </c>
      <c r="E68" s="60">
        <v>0</v>
      </c>
      <c r="F68" s="60">
        <v>0.1</v>
      </c>
      <c r="G68" s="60">
        <v>0.1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0.1359999999999999</v>
      </c>
      <c r="O68" s="63">
        <v>0.16799999999999993</v>
      </c>
      <c r="P68" s="63">
        <v>0.31599999999999995</v>
      </c>
      <c r="Q68" s="61">
        <v>0</v>
      </c>
      <c r="R68" s="61">
        <v>0</v>
      </c>
      <c r="S68" s="61">
        <v>0</v>
      </c>
      <c r="T68" s="61">
        <v>0</v>
      </c>
    </row>
    <row r="69" spans="1:20" x14ac:dyDescent="0.2">
      <c r="A69" s="82" t="s">
        <v>195</v>
      </c>
      <c r="B69" s="36" t="s">
        <v>195</v>
      </c>
      <c r="C69" s="36" t="s">
        <v>75</v>
      </c>
      <c r="D69" s="60">
        <v>0.38</v>
      </c>
      <c r="E69" s="61">
        <v>0.62</v>
      </c>
      <c r="F69" s="61">
        <v>0.62</v>
      </c>
      <c r="G69" s="61">
        <v>0.62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0.39999999999999991</v>
      </c>
      <c r="O69" s="63">
        <v>0.51200000000000001</v>
      </c>
      <c r="P69" s="63">
        <v>0.55000000000000004</v>
      </c>
      <c r="Q69" s="87">
        <v>0.33</v>
      </c>
      <c r="R69" s="87">
        <v>0.46</v>
      </c>
      <c r="S69" s="87">
        <v>0.51</v>
      </c>
      <c r="T69" s="87">
        <v>0.48</v>
      </c>
    </row>
    <row r="70" spans="1:20" x14ac:dyDescent="0.2">
      <c r="A70" s="82" t="s">
        <v>196</v>
      </c>
      <c r="B70" s="36" t="s">
        <v>196</v>
      </c>
      <c r="C70" s="36" t="s">
        <v>75</v>
      </c>
      <c r="D70" s="60">
        <v>0.38</v>
      </c>
      <c r="E70" s="61">
        <v>0.62</v>
      </c>
      <c r="F70" s="61">
        <v>0.62</v>
      </c>
      <c r="G70" s="61">
        <v>0.62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0.39999999999999991</v>
      </c>
      <c r="O70" s="63">
        <v>0.51200000000000001</v>
      </c>
      <c r="P70" s="63">
        <v>0.55000000000000004</v>
      </c>
      <c r="Q70" s="60">
        <v>0.38</v>
      </c>
      <c r="R70" s="87">
        <v>0.51</v>
      </c>
      <c r="S70" s="87">
        <v>0.55000000000000004</v>
      </c>
      <c r="T70" s="87">
        <v>0.52</v>
      </c>
    </row>
    <row r="71" spans="1:20" x14ac:dyDescent="0.2">
      <c r="A71" s="82" t="s">
        <v>197</v>
      </c>
      <c r="B71" s="36" t="s">
        <v>197</v>
      </c>
      <c r="C71" s="36" t="s">
        <v>75</v>
      </c>
      <c r="D71" s="60">
        <v>0.38</v>
      </c>
      <c r="E71" s="61">
        <v>0.62</v>
      </c>
      <c r="F71" s="61">
        <v>0.62</v>
      </c>
      <c r="G71" s="61">
        <v>0.62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0.39999999999999991</v>
      </c>
      <c r="O71" s="63">
        <v>0.51200000000000001</v>
      </c>
      <c r="P71" s="63">
        <v>0.55000000000000004</v>
      </c>
      <c r="Q71" s="87">
        <v>0.33</v>
      </c>
      <c r="R71" s="87">
        <v>0.47</v>
      </c>
      <c r="S71" s="87">
        <v>0.51</v>
      </c>
      <c r="T71" s="87">
        <v>0.47</v>
      </c>
    </row>
    <row r="72" spans="1:20" x14ac:dyDescent="0.2">
      <c r="A72" s="82" t="s">
        <v>198</v>
      </c>
      <c r="B72" s="36" t="s">
        <v>198</v>
      </c>
      <c r="C72" s="36" t="s">
        <v>76</v>
      </c>
      <c r="D72" s="61">
        <v>0</v>
      </c>
      <c r="E72" s="61">
        <v>0</v>
      </c>
      <c r="F72" s="61">
        <v>0</v>
      </c>
      <c r="G72" s="61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0.28000000000000003</v>
      </c>
      <c r="O72" s="63">
        <v>0.376</v>
      </c>
      <c r="P72" s="63">
        <v>0.55000000000000004</v>
      </c>
      <c r="Q72" s="61">
        <v>0</v>
      </c>
      <c r="R72" s="61">
        <v>0</v>
      </c>
      <c r="S72" s="61">
        <v>0</v>
      </c>
      <c r="T72" s="61">
        <v>0</v>
      </c>
    </row>
    <row r="73" spans="1:20" x14ac:dyDescent="0.2">
      <c r="A73" s="82" t="s">
        <v>199</v>
      </c>
      <c r="B73" s="36" t="s">
        <v>199</v>
      </c>
      <c r="C73" s="36" t="s">
        <v>78</v>
      </c>
      <c r="D73" s="84">
        <v>0.39</v>
      </c>
      <c r="E73" s="60">
        <v>0.59</v>
      </c>
      <c r="F73" s="60">
        <v>0.59</v>
      </c>
      <c r="G73" s="60">
        <v>0.59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0.26400000000000001</v>
      </c>
      <c r="O73" s="63">
        <v>0.36799999999999999</v>
      </c>
      <c r="P73" s="63">
        <v>0.46899999999999997</v>
      </c>
      <c r="Q73" s="60">
        <v>0.39</v>
      </c>
      <c r="R73" s="87">
        <v>0.55000000000000004</v>
      </c>
      <c r="S73" s="60">
        <v>0.59</v>
      </c>
      <c r="T73" s="87">
        <v>0.56999999999999995</v>
      </c>
    </row>
    <row r="74" spans="1:20" x14ac:dyDescent="0.2">
      <c r="A74" s="82" t="s">
        <v>200</v>
      </c>
      <c r="B74" s="36" t="s">
        <v>200</v>
      </c>
      <c r="C74" s="36" t="s">
        <v>79</v>
      </c>
      <c r="D74" s="84">
        <v>0.39</v>
      </c>
      <c r="E74" s="60">
        <v>0.59</v>
      </c>
      <c r="F74" s="60">
        <v>0.59</v>
      </c>
      <c r="G74" s="60">
        <v>0.59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0.26400000000000001</v>
      </c>
      <c r="O74" s="63">
        <v>0.36799999999999999</v>
      </c>
      <c r="P74" s="63">
        <v>0.46899999999999997</v>
      </c>
      <c r="Q74" s="87">
        <v>0.35</v>
      </c>
      <c r="R74" s="87">
        <v>0.49</v>
      </c>
      <c r="S74" s="87">
        <v>0.54</v>
      </c>
      <c r="T74" s="87">
        <v>0.51</v>
      </c>
    </row>
    <row r="75" spans="1:20" x14ac:dyDescent="0.2">
      <c r="A75" s="82" t="s">
        <v>201</v>
      </c>
      <c r="B75" s="36" t="s">
        <v>201</v>
      </c>
      <c r="C75" s="36" t="s">
        <v>107</v>
      </c>
      <c r="D75" s="60">
        <v>0.3</v>
      </c>
      <c r="E75" s="60">
        <v>0.65</v>
      </c>
      <c r="F75" s="60">
        <v>0.65</v>
      </c>
      <c r="G75" s="60">
        <v>0.65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0.29599999999999993</v>
      </c>
      <c r="O75" s="63">
        <v>0.40799999999999992</v>
      </c>
      <c r="P75" s="63">
        <v>0.50499999999999989</v>
      </c>
      <c r="Q75" s="60">
        <v>0.3</v>
      </c>
      <c r="R75" s="87">
        <v>0.47</v>
      </c>
      <c r="S75" s="87">
        <v>0.53</v>
      </c>
      <c r="T75" s="87">
        <v>0.5</v>
      </c>
    </row>
    <row r="76" spans="1:20" x14ac:dyDescent="0.2">
      <c r="A76" s="82" t="s">
        <v>202</v>
      </c>
      <c r="B76" s="36" t="s">
        <v>202</v>
      </c>
      <c r="C76" s="36" t="s">
        <v>108</v>
      </c>
      <c r="D76" s="60">
        <v>0.3</v>
      </c>
      <c r="E76" s="60">
        <v>0.63</v>
      </c>
      <c r="F76" s="60">
        <v>0.63</v>
      </c>
      <c r="G76" s="60">
        <v>0.63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0.29599999999999993</v>
      </c>
      <c r="O76" s="63">
        <v>0.40799999999999992</v>
      </c>
      <c r="P76" s="63">
        <v>0.50499999999999989</v>
      </c>
      <c r="Q76" s="60">
        <v>0.3</v>
      </c>
      <c r="R76" s="87">
        <v>0.51</v>
      </c>
      <c r="S76" s="87">
        <v>0.56000000000000005</v>
      </c>
      <c r="T76" s="87">
        <v>0.53</v>
      </c>
    </row>
    <row r="77" spans="1:20" x14ac:dyDescent="0.2">
      <c r="A77" s="82" t="s">
        <v>203</v>
      </c>
      <c r="B77" s="36" t="s">
        <v>203</v>
      </c>
      <c r="C77" s="36" t="s">
        <v>108</v>
      </c>
      <c r="D77" s="60">
        <v>0.3</v>
      </c>
      <c r="E77" s="60">
        <v>0.63</v>
      </c>
      <c r="F77" s="60">
        <v>0.63</v>
      </c>
      <c r="G77" s="60">
        <v>0.63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0.29599999999999993</v>
      </c>
      <c r="O77" s="63">
        <v>0.40799999999999992</v>
      </c>
      <c r="P77" s="63">
        <v>0.50499999999999989</v>
      </c>
      <c r="Q77" s="60">
        <v>0.3</v>
      </c>
      <c r="R77" s="87">
        <v>0.5</v>
      </c>
      <c r="S77" s="87">
        <v>0.56000000000000005</v>
      </c>
      <c r="T77" s="87">
        <v>0.53</v>
      </c>
    </row>
    <row r="78" spans="1:20" x14ac:dyDescent="0.2">
      <c r="A78" s="82" t="s">
        <v>204</v>
      </c>
      <c r="B78" s="36" t="s">
        <v>204</v>
      </c>
      <c r="C78" s="36" t="s">
        <v>108</v>
      </c>
      <c r="D78" s="60">
        <v>0.3</v>
      </c>
      <c r="E78" s="61">
        <v>0.52</v>
      </c>
      <c r="F78" s="61">
        <v>0.62</v>
      </c>
      <c r="G78" s="61">
        <v>0.59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0.29599999999999993</v>
      </c>
      <c r="O78" s="63">
        <v>0.40799999999999992</v>
      </c>
      <c r="P78" s="63">
        <v>0.50499999999999989</v>
      </c>
      <c r="Q78" s="87">
        <v>0.25</v>
      </c>
      <c r="R78" s="87">
        <v>0.41</v>
      </c>
      <c r="S78" s="87">
        <v>0.47</v>
      </c>
      <c r="T78" s="87">
        <v>0.42</v>
      </c>
    </row>
    <row r="79" spans="1:20" x14ac:dyDescent="0.2">
      <c r="A79" s="82" t="s">
        <v>205</v>
      </c>
      <c r="B79" s="36" t="s">
        <v>205</v>
      </c>
      <c r="C79" s="36" t="s">
        <v>108</v>
      </c>
      <c r="D79" s="61">
        <v>0</v>
      </c>
      <c r="E79" s="61">
        <v>0</v>
      </c>
      <c r="F79" s="61">
        <v>0</v>
      </c>
      <c r="G79" s="61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0.29599999999999993</v>
      </c>
      <c r="O79" s="63">
        <v>0.40799999999999992</v>
      </c>
      <c r="P79" s="63">
        <v>0.50499999999999989</v>
      </c>
      <c r="Q79" s="61">
        <v>0</v>
      </c>
      <c r="R79" s="61">
        <v>0</v>
      </c>
      <c r="S79" s="61">
        <v>0</v>
      </c>
      <c r="T79" s="61">
        <v>0</v>
      </c>
    </row>
    <row r="80" spans="1:20" ht="15" x14ac:dyDescent="0.25">
      <c r="A80" s="83"/>
    </row>
    <row r="81" spans="1:1" ht="15" x14ac:dyDescent="0.25">
      <c r="A81" s="83"/>
    </row>
    <row r="82" spans="1:1" ht="15" x14ac:dyDescent="0.25">
      <c r="A82" s="83"/>
    </row>
    <row r="83" spans="1:1" ht="15" x14ac:dyDescent="0.25">
      <c r="A83" s="83"/>
    </row>
    <row r="84" spans="1:1" ht="15" x14ac:dyDescent="0.25">
      <c r="A84" s="83"/>
    </row>
    <row r="85" spans="1:1" ht="15" x14ac:dyDescent="0.25">
      <c r="A85" s="83"/>
    </row>
    <row r="86" spans="1:1" ht="15" x14ac:dyDescent="0.25">
      <c r="A86" s="83"/>
    </row>
    <row r="87" spans="1:1" ht="15" x14ac:dyDescent="0.25">
      <c r="A87" s="83"/>
    </row>
    <row r="88" spans="1:1" ht="15" x14ac:dyDescent="0.25">
      <c r="A88" s="83"/>
    </row>
    <row r="89" spans="1:1" ht="15" x14ac:dyDescent="0.25">
      <c r="A89" s="83"/>
    </row>
    <row r="90" spans="1:1" ht="15" x14ac:dyDescent="0.25">
      <c r="A90" s="83"/>
    </row>
    <row r="91" spans="1:1" ht="15" x14ac:dyDescent="0.25">
      <c r="A91" s="83"/>
    </row>
    <row r="92" spans="1:1" ht="15" x14ac:dyDescent="0.25">
      <c r="A92" s="83"/>
    </row>
    <row r="93" spans="1:1" ht="15" x14ac:dyDescent="0.25">
      <c r="A93" s="83"/>
    </row>
    <row r="94" spans="1:1" ht="15" x14ac:dyDescent="0.25">
      <c r="A94" s="83"/>
    </row>
    <row r="95" spans="1:1" ht="15" x14ac:dyDescent="0.25">
      <c r="A95" s="83"/>
    </row>
    <row r="96" spans="1:1" ht="15" x14ac:dyDescent="0.25">
      <c r="A96" s="83"/>
    </row>
    <row r="97" spans="1:1" ht="15" x14ac:dyDescent="0.25">
      <c r="A97" s="83"/>
    </row>
    <row r="98" spans="1:1" ht="15" x14ac:dyDescent="0.25">
      <c r="A98" s="83"/>
    </row>
    <row r="99" spans="1:1" ht="15" x14ac:dyDescent="0.25">
      <c r="A99" s="83"/>
    </row>
    <row r="100" spans="1:1" ht="15" x14ac:dyDescent="0.25">
      <c r="A100" s="83"/>
    </row>
    <row r="101" spans="1:1" ht="15" x14ac:dyDescent="0.25">
      <c r="A101" s="83"/>
    </row>
    <row r="102" spans="1:1" ht="15" x14ac:dyDescent="0.25">
      <c r="A102" s="83"/>
    </row>
    <row r="103" spans="1:1" ht="15" x14ac:dyDescent="0.25">
      <c r="A103" s="83"/>
    </row>
    <row r="104" spans="1:1" ht="15" x14ac:dyDescent="0.25">
      <c r="A104" s="83"/>
    </row>
    <row r="105" spans="1:1" ht="15" x14ac:dyDescent="0.25">
      <c r="A105" s="83"/>
    </row>
    <row r="106" spans="1:1" ht="15" x14ac:dyDescent="0.25">
      <c r="A106" s="83"/>
    </row>
    <row r="107" spans="1:1" ht="15" x14ac:dyDescent="0.25">
      <c r="A107" s="83"/>
    </row>
    <row r="108" spans="1:1" ht="15" x14ac:dyDescent="0.25">
      <c r="A108" s="83"/>
    </row>
    <row r="109" spans="1:1" ht="15" x14ac:dyDescent="0.25">
      <c r="A109" s="83"/>
    </row>
    <row r="110" spans="1:1" ht="15" x14ac:dyDescent="0.25">
      <c r="A110" s="83"/>
    </row>
    <row r="111" spans="1:1" ht="15" x14ac:dyDescent="0.25">
      <c r="A111" s="83"/>
    </row>
    <row r="112" spans="1:1" ht="15" x14ac:dyDescent="0.25">
      <c r="A112" s="83"/>
    </row>
    <row r="113" spans="1:1" ht="15" x14ac:dyDescent="0.25">
      <c r="A113" s="83"/>
    </row>
    <row r="114" spans="1:1" ht="15" x14ac:dyDescent="0.25">
      <c r="A114" s="83"/>
    </row>
    <row r="115" spans="1:1" ht="15" x14ac:dyDescent="0.25">
      <c r="A115" s="83"/>
    </row>
    <row r="116" spans="1:1" ht="15" x14ac:dyDescent="0.25">
      <c r="A116" s="83"/>
    </row>
    <row r="117" spans="1:1" ht="15" x14ac:dyDescent="0.25">
      <c r="A117" s="83"/>
    </row>
    <row r="118" spans="1:1" ht="15" x14ac:dyDescent="0.25">
      <c r="A118" s="83"/>
    </row>
    <row r="119" spans="1:1" ht="15" x14ac:dyDescent="0.25">
      <c r="A119" s="83"/>
    </row>
    <row r="120" spans="1:1" ht="15" x14ac:dyDescent="0.25">
      <c r="A120" s="83"/>
    </row>
    <row r="121" spans="1:1" ht="15" x14ac:dyDescent="0.25">
      <c r="A121" s="83"/>
    </row>
    <row r="122" spans="1:1" ht="15" x14ac:dyDescent="0.25">
      <c r="A122" s="83"/>
    </row>
    <row r="123" spans="1:1" ht="15" x14ac:dyDescent="0.25">
      <c r="A123" s="83"/>
    </row>
    <row r="124" spans="1:1" ht="15" x14ac:dyDescent="0.25">
      <c r="A124" s="83"/>
    </row>
    <row r="125" spans="1:1" ht="15" x14ac:dyDescent="0.25">
      <c r="A125" s="83"/>
    </row>
    <row r="126" spans="1:1" ht="15" x14ac:dyDescent="0.25">
      <c r="A126" s="83"/>
    </row>
    <row r="127" spans="1:1" ht="15" x14ac:dyDescent="0.25">
      <c r="A127" s="83"/>
    </row>
    <row r="128" spans="1:1" ht="15" x14ac:dyDescent="0.25">
      <c r="A128" s="83"/>
    </row>
    <row r="129" spans="1:1" ht="15" x14ac:dyDescent="0.25">
      <c r="A129" s="83"/>
    </row>
    <row r="130" spans="1:1" ht="15" x14ac:dyDescent="0.25">
      <c r="A130" s="83"/>
    </row>
    <row r="131" spans="1:1" ht="15" x14ac:dyDescent="0.25">
      <c r="A131" s="83"/>
    </row>
    <row r="132" spans="1:1" ht="15" x14ac:dyDescent="0.25">
      <c r="A132" s="83"/>
    </row>
    <row r="133" spans="1:1" ht="15" x14ac:dyDescent="0.25">
      <c r="A133" s="83"/>
    </row>
    <row r="134" spans="1:1" ht="15" x14ac:dyDescent="0.25">
      <c r="A134" s="83"/>
    </row>
    <row r="135" spans="1:1" ht="15" x14ac:dyDescent="0.25">
      <c r="A135" s="83"/>
    </row>
    <row r="136" spans="1:1" ht="15" x14ac:dyDescent="0.25">
      <c r="A136" s="83"/>
    </row>
    <row r="137" spans="1:1" ht="15" x14ac:dyDescent="0.25">
      <c r="A137" s="83"/>
    </row>
    <row r="138" spans="1:1" ht="15" x14ac:dyDescent="0.25">
      <c r="A138" s="83"/>
    </row>
    <row r="139" spans="1:1" ht="15" x14ac:dyDescent="0.25">
      <c r="A139" s="83"/>
    </row>
    <row r="140" spans="1:1" ht="15" x14ac:dyDescent="0.25">
      <c r="A140" s="83"/>
    </row>
    <row r="141" spans="1:1" ht="15" x14ac:dyDescent="0.25">
      <c r="A141" s="83"/>
    </row>
    <row r="142" spans="1:1" ht="15" x14ac:dyDescent="0.25">
      <c r="A142" s="83"/>
    </row>
    <row r="143" spans="1:1" ht="15" x14ac:dyDescent="0.25">
      <c r="A143" s="83"/>
    </row>
    <row r="144" spans="1:1" ht="15" x14ac:dyDescent="0.25">
      <c r="A144" s="83"/>
    </row>
    <row r="145" spans="1:1" ht="15" x14ac:dyDescent="0.25">
      <c r="A145" s="83"/>
    </row>
    <row r="146" spans="1:1" ht="15" x14ac:dyDescent="0.25">
      <c r="A146" s="83"/>
    </row>
    <row r="147" spans="1:1" ht="15" x14ac:dyDescent="0.25">
      <c r="A147" s="83"/>
    </row>
    <row r="148" spans="1:1" ht="15" x14ac:dyDescent="0.25">
      <c r="A148" s="83"/>
    </row>
    <row r="149" spans="1:1" ht="15" x14ac:dyDescent="0.25">
      <c r="A149" s="83"/>
    </row>
    <row r="150" spans="1:1" ht="15" x14ac:dyDescent="0.25">
      <c r="A150" s="83"/>
    </row>
    <row r="151" spans="1:1" ht="15" x14ac:dyDescent="0.25">
      <c r="A151" s="83"/>
    </row>
    <row r="152" spans="1:1" ht="15" x14ac:dyDescent="0.25">
      <c r="A152" s="83"/>
    </row>
    <row r="153" spans="1:1" ht="15" x14ac:dyDescent="0.25">
      <c r="A153" s="83"/>
    </row>
    <row r="154" spans="1:1" ht="15" x14ac:dyDescent="0.25">
      <c r="A154" s="83"/>
    </row>
    <row r="155" spans="1:1" ht="15" x14ac:dyDescent="0.25">
      <c r="A155" s="83"/>
    </row>
    <row r="156" spans="1:1" ht="15" x14ac:dyDescent="0.25">
      <c r="A156" s="83"/>
    </row>
    <row r="157" spans="1:1" ht="15" x14ac:dyDescent="0.25">
      <c r="A157" s="83"/>
    </row>
    <row r="158" spans="1:1" ht="15" x14ac:dyDescent="0.25">
      <c r="A158" s="83"/>
    </row>
    <row r="159" spans="1:1" ht="15" x14ac:dyDescent="0.25">
      <c r="A159" s="83"/>
    </row>
    <row r="160" spans="1:1" ht="15" x14ac:dyDescent="0.25">
      <c r="A160" s="83"/>
    </row>
    <row r="161" spans="1:1" ht="15" x14ac:dyDescent="0.25">
      <c r="A161" s="83"/>
    </row>
    <row r="162" spans="1:1" ht="15" x14ac:dyDescent="0.25">
      <c r="A162" s="83"/>
    </row>
    <row r="163" spans="1:1" ht="15" x14ac:dyDescent="0.25">
      <c r="A163" s="83"/>
    </row>
    <row r="164" spans="1:1" ht="15" x14ac:dyDescent="0.25">
      <c r="A164" s="83"/>
    </row>
    <row r="165" spans="1:1" ht="15" x14ac:dyDescent="0.25">
      <c r="A165" s="83"/>
    </row>
    <row r="166" spans="1:1" ht="15" x14ac:dyDescent="0.25">
      <c r="A166" s="83"/>
    </row>
    <row r="167" spans="1:1" ht="15" x14ac:dyDescent="0.25">
      <c r="A167" s="83"/>
    </row>
    <row r="168" spans="1:1" ht="15" x14ac:dyDescent="0.25">
      <c r="A168" s="83"/>
    </row>
    <row r="169" spans="1:1" ht="15" x14ac:dyDescent="0.25">
      <c r="A169" s="83"/>
    </row>
    <row r="170" spans="1:1" ht="15" x14ac:dyDescent="0.25">
      <c r="A170" s="83"/>
    </row>
    <row r="171" spans="1:1" ht="15" x14ac:dyDescent="0.25">
      <c r="A171" s="83"/>
    </row>
    <row r="172" spans="1:1" ht="15" x14ac:dyDescent="0.25">
      <c r="A172" s="83"/>
    </row>
    <row r="173" spans="1:1" ht="15" x14ac:dyDescent="0.25">
      <c r="A173" s="83"/>
    </row>
    <row r="174" spans="1:1" ht="15" x14ac:dyDescent="0.25">
      <c r="A174" s="83"/>
    </row>
    <row r="175" spans="1:1" ht="15" x14ac:dyDescent="0.25">
      <c r="A175" s="83"/>
    </row>
    <row r="176" spans="1:1" ht="15" x14ac:dyDescent="0.25">
      <c r="A176" s="83"/>
    </row>
    <row r="177" spans="1:1" ht="15" x14ac:dyDescent="0.25">
      <c r="A177" s="83"/>
    </row>
    <row r="178" spans="1:1" ht="15" x14ac:dyDescent="0.25">
      <c r="A178" s="83"/>
    </row>
    <row r="179" spans="1:1" ht="15" x14ac:dyDescent="0.25">
      <c r="A179" s="83"/>
    </row>
    <row r="180" spans="1:1" ht="15" x14ac:dyDescent="0.25">
      <c r="A180" s="83"/>
    </row>
    <row r="181" spans="1:1" ht="15" x14ac:dyDescent="0.25">
      <c r="A181" s="83"/>
    </row>
    <row r="182" spans="1:1" ht="15" x14ac:dyDescent="0.25">
      <c r="A182" s="83"/>
    </row>
    <row r="183" spans="1:1" ht="15" x14ac:dyDescent="0.25">
      <c r="A183" s="83"/>
    </row>
    <row r="184" spans="1:1" ht="15" x14ac:dyDescent="0.25">
      <c r="A184" s="83"/>
    </row>
    <row r="185" spans="1:1" ht="15" x14ac:dyDescent="0.25">
      <c r="A185" s="83"/>
    </row>
    <row r="186" spans="1:1" ht="15" x14ac:dyDescent="0.25">
      <c r="A186" s="83"/>
    </row>
    <row r="187" spans="1:1" ht="15" x14ac:dyDescent="0.25">
      <c r="A187" s="83"/>
    </row>
    <row r="188" spans="1:1" ht="15" x14ac:dyDescent="0.25">
      <c r="A188" s="83"/>
    </row>
    <row r="189" spans="1:1" ht="15" x14ac:dyDescent="0.25">
      <c r="A189" s="83"/>
    </row>
    <row r="190" spans="1:1" ht="15" x14ac:dyDescent="0.25">
      <c r="A190" s="83"/>
    </row>
    <row r="191" spans="1:1" ht="15" x14ac:dyDescent="0.25">
      <c r="A191" s="83"/>
    </row>
    <row r="192" spans="1:1" ht="15" x14ac:dyDescent="0.25">
      <c r="A192" s="83"/>
    </row>
    <row r="193" spans="1:1" ht="15" x14ac:dyDescent="0.25">
      <c r="A193" s="83"/>
    </row>
    <row r="194" spans="1:1" ht="15" x14ac:dyDescent="0.25">
      <c r="A194" s="83"/>
    </row>
    <row r="195" spans="1:1" ht="15" x14ac:dyDescent="0.25">
      <c r="A195" s="83"/>
    </row>
    <row r="196" spans="1:1" ht="15" x14ac:dyDescent="0.25">
      <c r="A196" s="83"/>
    </row>
    <row r="197" spans="1:1" ht="15" x14ac:dyDescent="0.25">
      <c r="A197" s="83"/>
    </row>
    <row r="198" spans="1:1" ht="15" x14ac:dyDescent="0.25">
      <c r="A198" s="83"/>
    </row>
    <row r="199" spans="1:1" ht="15" x14ac:dyDescent="0.25">
      <c r="A199" s="83"/>
    </row>
    <row r="200" spans="1:1" ht="15" x14ac:dyDescent="0.25">
      <c r="A200" s="83"/>
    </row>
    <row r="201" spans="1:1" ht="15" x14ac:dyDescent="0.25">
      <c r="A201" s="83"/>
    </row>
    <row r="202" spans="1:1" ht="15" x14ac:dyDescent="0.25">
      <c r="A202" s="83"/>
    </row>
    <row r="203" spans="1:1" ht="15" x14ac:dyDescent="0.25">
      <c r="A203" s="83"/>
    </row>
    <row r="204" spans="1:1" ht="15" x14ac:dyDescent="0.25">
      <c r="A204" s="83"/>
    </row>
    <row r="205" spans="1:1" ht="15" x14ac:dyDescent="0.25">
      <c r="A205" s="83"/>
    </row>
    <row r="206" spans="1:1" ht="15" x14ac:dyDescent="0.25">
      <c r="A206" s="83"/>
    </row>
    <row r="207" spans="1:1" ht="15" x14ac:dyDescent="0.25">
      <c r="A207" s="83"/>
    </row>
    <row r="208" spans="1:1" ht="15" x14ac:dyDescent="0.25">
      <c r="A208" s="83"/>
    </row>
    <row r="209" spans="1:1" ht="15" x14ac:dyDescent="0.25">
      <c r="A209" s="83"/>
    </row>
    <row r="210" spans="1:1" ht="15" x14ac:dyDescent="0.25">
      <c r="A210" s="83"/>
    </row>
    <row r="211" spans="1:1" ht="15" x14ac:dyDescent="0.25">
      <c r="A211" s="83"/>
    </row>
    <row r="212" spans="1:1" ht="15" x14ac:dyDescent="0.25">
      <c r="A212" s="83"/>
    </row>
    <row r="213" spans="1:1" ht="15" x14ac:dyDescent="0.25">
      <c r="A213" s="83"/>
    </row>
    <row r="214" spans="1:1" ht="15" x14ac:dyDescent="0.25">
      <c r="A214" s="83"/>
    </row>
    <row r="215" spans="1:1" ht="15" x14ac:dyDescent="0.25">
      <c r="A215" s="83"/>
    </row>
    <row r="216" spans="1:1" ht="15" x14ac:dyDescent="0.25">
      <c r="A216" s="83"/>
    </row>
    <row r="217" spans="1:1" ht="15" x14ac:dyDescent="0.25">
      <c r="A217" s="83"/>
    </row>
    <row r="218" spans="1:1" ht="15" x14ac:dyDescent="0.25">
      <c r="A218" s="83"/>
    </row>
    <row r="219" spans="1:1" ht="15" x14ac:dyDescent="0.25">
      <c r="A219" s="83"/>
    </row>
    <row r="220" spans="1:1" ht="15" x14ac:dyDescent="0.25">
      <c r="A220" s="83"/>
    </row>
    <row r="221" spans="1:1" ht="15" x14ac:dyDescent="0.25">
      <c r="A221" s="83"/>
    </row>
    <row r="222" spans="1:1" ht="15" x14ac:dyDescent="0.25">
      <c r="A222" s="83"/>
    </row>
    <row r="223" spans="1:1" ht="15" x14ac:dyDescent="0.25">
      <c r="A223" s="83"/>
    </row>
    <row r="224" spans="1:1" ht="15" x14ac:dyDescent="0.25">
      <c r="A224" s="83"/>
    </row>
    <row r="225" spans="1:1" ht="15" x14ac:dyDescent="0.25">
      <c r="A225" s="83"/>
    </row>
    <row r="226" spans="1:1" ht="15" x14ac:dyDescent="0.25">
      <c r="A226" s="83"/>
    </row>
    <row r="227" spans="1:1" ht="15" x14ac:dyDescent="0.25">
      <c r="A227" s="83"/>
    </row>
    <row r="228" spans="1:1" ht="15" x14ac:dyDescent="0.25">
      <c r="A228" s="83"/>
    </row>
    <row r="229" spans="1:1" ht="15" x14ac:dyDescent="0.25">
      <c r="A229" s="83"/>
    </row>
    <row r="230" spans="1:1" ht="15" x14ac:dyDescent="0.25">
      <c r="A230" s="83"/>
    </row>
    <row r="231" spans="1:1" ht="15" x14ac:dyDescent="0.25">
      <c r="A231" s="83"/>
    </row>
    <row r="232" spans="1:1" ht="15" x14ac:dyDescent="0.25">
      <c r="A232" s="83"/>
    </row>
    <row r="233" spans="1:1" ht="15" x14ac:dyDescent="0.25">
      <c r="A233" s="83"/>
    </row>
    <row r="234" spans="1:1" ht="15" x14ac:dyDescent="0.25">
      <c r="A234" s="83"/>
    </row>
    <row r="235" spans="1:1" ht="15" x14ac:dyDescent="0.25">
      <c r="A235" s="83"/>
    </row>
    <row r="236" spans="1:1" ht="15" x14ac:dyDescent="0.25">
      <c r="A236" s="83"/>
    </row>
    <row r="237" spans="1:1" ht="15" x14ac:dyDescent="0.25">
      <c r="A237" s="83"/>
    </row>
    <row r="238" spans="1:1" ht="15" x14ac:dyDescent="0.25">
      <c r="A238" s="83"/>
    </row>
    <row r="239" spans="1:1" ht="15" x14ac:dyDescent="0.25">
      <c r="A239" s="83"/>
    </row>
    <row r="240" spans="1:1" ht="15" x14ac:dyDescent="0.25">
      <c r="A240" s="83"/>
    </row>
    <row r="241" spans="1:1" ht="15" x14ac:dyDescent="0.25">
      <c r="A241" s="83"/>
    </row>
    <row r="242" spans="1:1" ht="15" x14ac:dyDescent="0.25">
      <c r="A242" s="83"/>
    </row>
    <row r="243" spans="1:1" ht="15" x14ac:dyDescent="0.25">
      <c r="A243" s="83"/>
    </row>
    <row r="244" spans="1:1" ht="15" x14ac:dyDescent="0.25">
      <c r="A244" s="83"/>
    </row>
    <row r="245" spans="1:1" ht="15" x14ac:dyDescent="0.25">
      <c r="A245" s="83"/>
    </row>
    <row r="246" spans="1:1" ht="15" x14ac:dyDescent="0.25">
      <c r="A246" s="83"/>
    </row>
    <row r="247" spans="1:1" ht="15" x14ac:dyDescent="0.25">
      <c r="A247" s="83"/>
    </row>
    <row r="248" spans="1:1" ht="15" x14ac:dyDescent="0.25">
      <c r="A248" s="83"/>
    </row>
    <row r="249" spans="1:1" ht="15" x14ac:dyDescent="0.25">
      <c r="A249" s="83"/>
    </row>
    <row r="250" spans="1:1" ht="15" x14ac:dyDescent="0.25">
      <c r="A250" s="83"/>
    </row>
    <row r="251" spans="1:1" ht="15" x14ac:dyDescent="0.25">
      <c r="A251" s="83"/>
    </row>
    <row r="252" spans="1:1" ht="15" x14ac:dyDescent="0.25">
      <c r="A252" s="83"/>
    </row>
    <row r="253" spans="1:1" ht="15" x14ac:dyDescent="0.25">
      <c r="A253" s="83"/>
    </row>
    <row r="254" spans="1:1" ht="15" x14ac:dyDescent="0.25">
      <c r="A254" s="83"/>
    </row>
    <row r="255" spans="1:1" ht="15" x14ac:dyDescent="0.25">
      <c r="A255" s="83"/>
    </row>
    <row r="256" spans="1:1" ht="15" x14ac:dyDescent="0.25">
      <c r="A256" s="83"/>
    </row>
    <row r="257" spans="1:1" ht="15" x14ac:dyDescent="0.25">
      <c r="A257" s="83"/>
    </row>
    <row r="258" spans="1:1" ht="15" x14ac:dyDescent="0.25">
      <c r="A258" s="83"/>
    </row>
    <row r="259" spans="1:1" ht="15" x14ac:dyDescent="0.25">
      <c r="A259" s="83"/>
    </row>
    <row r="260" spans="1:1" ht="15" x14ac:dyDescent="0.25">
      <c r="A260" s="83"/>
    </row>
    <row r="261" spans="1:1" ht="15" x14ac:dyDescent="0.25">
      <c r="A261" s="83"/>
    </row>
    <row r="262" spans="1:1" ht="15" x14ac:dyDescent="0.25">
      <c r="A262" s="83"/>
    </row>
    <row r="263" spans="1:1" ht="15" x14ac:dyDescent="0.25">
      <c r="A263" s="83"/>
    </row>
    <row r="264" spans="1:1" ht="15" x14ac:dyDescent="0.25">
      <c r="A264" s="83"/>
    </row>
    <row r="265" spans="1:1" ht="15" x14ac:dyDescent="0.25">
      <c r="A265" s="83"/>
    </row>
    <row r="266" spans="1:1" ht="15" x14ac:dyDescent="0.25">
      <c r="A266" s="83"/>
    </row>
    <row r="267" spans="1:1" ht="15" x14ac:dyDescent="0.25">
      <c r="A267" s="83"/>
    </row>
    <row r="268" spans="1:1" ht="15" x14ac:dyDescent="0.25">
      <c r="A268" s="83"/>
    </row>
    <row r="269" spans="1:1" ht="15" x14ac:dyDescent="0.25">
      <c r="A269" s="83"/>
    </row>
    <row r="270" spans="1:1" ht="15" x14ac:dyDescent="0.25">
      <c r="A270" s="83"/>
    </row>
    <row r="271" spans="1:1" ht="15" x14ac:dyDescent="0.25">
      <c r="A271" s="83"/>
    </row>
    <row r="272" spans="1:1" ht="15" x14ac:dyDescent="0.25">
      <c r="A272" s="83"/>
    </row>
    <row r="273" spans="1:1" ht="15" x14ac:dyDescent="0.25">
      <c r="A273" s="83"/>
    </row>
    <row r="274" spans="1:1" ht="15" x14ac:dyDescent="0.25">
      <c r="A274" s="83"/>
    </row>
    <row r="275" spans="1:1" ht="15" x14ac:dyDescent="0.25">
      <c r="A275" s="83"/>
    </row>
    <row r="276" spans="1:1" ht="15" x14ac:dyDescent="0.25">
      <c r="A276" s="83"/>
    </row>
    <row r="277" spans="1:1" ht="15" x14ac:dyDescent="0.25">
      <c r="A277" s="83"/>
    </row>
    <row r="278" spans="1:1" ht="15" x14ac:dyDescent="0.25">
      <c r="A278" s="83"/>
    </row>
    <row r="279" spans="1:1" ht="15" x14ac:dyDescent="0.25">
      <c r="A279" s="83"/>
    </row>
    <row r="280" spans="1:1" ht="15" x14ac:dyDescent="0.25">
      <c r="A280" s="83"/>
    </row>
    <row r="281" spans="1:1" ht="15" x14ac:dyDescent="0.25">
      <c r="A281" s="83"/>
    </row>
    <row r="282" spans="1:1" ht="15" x14ac:dyDescent="0.25">
      <c r="A282" s="83"/>
    </row>
    <row r="283" spans="1:1" ht="15" x14ac:dyDescent="0.25">
      <c r="A283" s="83"/>
    </row>
    <row r="284" spans="1:1" ht="15" x14ac:dyDescent="0.25">
      <c r="A284" s="83"/>
    </row>
    <row r="285" spans="1:1" ht="15" x14ac:dyDescent="0.25">
      <c r="A285" s="83"/>
    </row>
    <row r="286" spans="1:1" ht="15" x14ac:dyDescent="0.25">
      <c r="A286" s="83"/>
    </row>
    <row r="287" spans="1:1" ht="15" x14ac:dyDescent="0.25">
      <c r="A287" s="83"/>
    </row>
    <row r="288" spans="1:1" ht="15" x14ac:dyDescent="0.25">
      <c r="A288" s="83"/>
    </row>
    <row r="289" spans="1:1" ht="15" x14ac:dyDescent="0.25">
      <c r="A289" s="83"/>
    </row>
    <row r="290" spans="1:1" ht="15" x14ac:dyDescent="0.25">
      <c r="A290" s="83"/>
    </row>
    <row r="291" spans="1:1" ht="15" x14ac:dyDescent="0.25">
      <c r="A291" s="83"/>
    </row>
    <row r="292" spans="1:1" ht="15" x14ac:dyDescent="0.25">
      <c r="A292" s="83"/>
    </row>
    <row r="293" spans="1:1" ht="15" x14ac:dyDescent="0.25">
      <c r="A293" s="83"/>
    </row>
    <row r="294" spans="1:1" ht="15" x14ac:dyDescent="0.25">
      <c r="A294" s="83"/>
    </row>
    <row r="295" spans="1:1" ht="15" x14ac:dyDescent="0.25">
      <c r="A295" s="83"/>
    </row>
    <row r="296" spans="1:1" ht="15" x14ac:dyDescent="0.25">
      <c r="A296" s="83"/>
    </row>
    <row r="297" spans="1:1" ht="15" x14ac:dyDescent="0.25">
      <c r="A297" s="83"/>
    </row>
    <row r="298" spans="1:1" ht="15" x14ac:dyDescent="0.25">
      <c r="A298" s="83"/>
    </row>
    <row r="299" spans="1:1" ht="15" x14ac:dyDescent="0.25">
      <c r="A299" s="83"/>
    </row>
    <row r="300" spans="1:1" ht="15" x14ac:dyDescent="0.25">
      <c r="A300" s="83"/>
    </row>
    <row r="301" spans="1:1" ht="15" x14ac:dyDescent="0.25">
      <c r="A301" s="83"/>
    </row>
    <row r="302" spans="1:1" ht="15" x14ac:dyDescent="0.25">
      <c r="A302" s="83"/>
    </row>
    <row r="303" spans="1:1" ht="15" x14ac:dyDescent="0.25">
      <c r="A303" s="83"/>
    </row>
    <row r="304" spans="1:1" ht="15" x14ac:dyDescent="0.25">
      <c r="A304" s="83"/>
    </row>
    <row r="305" spans="1:1" ht="15" x14ac:dyDescent="0.25">
      <c r="A305" s="83"/>
    </row>
    <row r="306" spans="1:1" ht="15" x14ac:dyDescent="0.25">
      <c r="A306" s="83"/>
    </row>
    <row r="307" spans="1:1" ht="15" x14ac:dyDescent="0.25">
      <c r="A307" s="83"/>
    </row>
    <row r="308" spans="1:1" ht="15" x14ac:dyDescent="0.25">
      <c r="A308" s="83"/>
    </row>
    <row r="309" spans="1:1" ht="15" x14ac:dyDescent="0.25">
      <c r="A309" s="83"/>
    </row>
    <row r="310" spans="1:1" ht="15" x14ac:dyDescent="0.25">
      <c r="A310" s="83"/>
    </row>
    <row r="311" spans="1:1" ht="15" x14ac:dyDescent="0.25">
      <c r="A311" s="83"/>
    </row>
    <row r="312" spans="1:1" ht="15" x14ac:dyDescent="0.25">
      <c r="A312" s="83"/>
    </row>
    <row r="313" spans="1:1" ht="15" x14ac:dyDescent="0.25">
      <c r="A313" s="83"/>
    </row>
    <row r="314" spans="1:1" ht="15" x14ac:dyDescent="0.25">
      <c r="A314" s="83"/>
    </row>
    <row r="315" spans="1:1" ht="15" x14ac:dyDescent="0.25">
      <c r="A315" s="83"/>
    </row>
    <row r="316" spans="1:1" ht="15" x14ac:dyDescent="0.25">
      <c r="A316" s="83"/>
    </row>
    <row r="317" spans="1:1" ht="15" x14ac:dyDescent="0.25">
      <c r="A317" s="83"/>
    </row>
    <row r="318" spans="1:1" ht="15" x14ac:dyDescent="0.25">
      <c r="A318" s="83"/>
    </row>
    <row r="319" spans="1:1" ht="15" x14ac:dyDescent="0.25">
      <c r="A319" s="83"/>
    </row>
    <row r="320" spans="1:1" ht="15" x14ac:dyDescent="0.25">
      <c r="A320" s="83"/>
    </row>
    <row r="321" spans="1:1" ht="15" x14ac:dyDescent="0.25">
      <c r="A321" s="83"/>
    </row>
    <row r="322" spans="1:1" ht="15" x14ac:dyDescent="0.25">
      <c r="A322" s="83"/>
    </row>
    <row r="323" spans="1:1" ht="15" x14ac:dyDescent="0.25">
      <c r="A323" s="83"/>
    </row>
    <row r="324" spans="1:1" ht="15" x14ac:dyDescent="0.25">
      <c r="A324" s="83"/>
    </row>
    <row r="325" spans="1:1" ht="15" x14ac:dyDescent="0.25">
      <c r="A325" s="83"/>
    </row>
    <row r="326" spans="1:1" ht="15" x14ac:dyDescent="0.25">
      <c r="A326" s="83"/>
    </row>
    <row r="327" spans="1:1" ht="15" x14ac:dyDescent="0.25">
      <c r="A327" s="83"/>
    </row>
    <row r="328" spans="1:1" ht="15" x14ac:dyDescent="0.25">
      <c r="A328" s="83"/>
    </row>
    <row r="329" spans="1:1" ht="15" x14ac:dyDescent="0.25">
      <c r="A329" s="83"/>
    </row>
    <row r="330" spans="1:1" ht="15" x14ac:dyDescent="0.25">
      <c r="A330" s="83"/>
    </row>
    <row r="331" spans="1:1" ht="15" x14ac:dyDescent="0.25">
      <c r="A331" s="83"/>
    </row>
    <row r="332" spans="1:1" ht="15" x14ac:dyDescent="0.25">
      <c r="A332" s="83"/>
    </row>
    <row r="333" spans="1:1" ht="15" x14ac:dyDescent="0.25">
      <c r="A333" s="83"/>
    </row>
    <row r="334" spans="1:1" ht="15" x14ac:dyDescent="0.25">
      <c r="A334" s="83"/>
    </row>
    <row r="335" spans="1:1" ht="15" x14ac:dyDescent="0.25">
      <c r="A335" s="83"/>
    </row>
    <row r="336" spans="1:1" ht="15" x14ac:dyDescent="0.25">
      <c r="A336" s="83"/>
    </row>
    <row r="337" spans="1:1" ht="15" x14ac:dyDescent="0.25">
      <c r="A337" s="83"/>
    </row>
    <row r="338" spans="1:1" ht="15" x14ac:dyDescent="0.25">
      <c r="A338" s="83"/>
    </row>
    <row r="339" spans="1:1" ht="15" x14ac:dyDescent="0.25">
      <c r="A339" s="83"/>
    </row>
    <row r="340" spans="1:1" ht="15" x14ac:dyDescent="0.25">
      <c r="A340" s="83"/>
    </row>
    <row r="341" spans="1:1" ht="15" x14ac:dyDescent="0.25">
      <c r="A341" s="83"/>
    </row>
    <row r="342" spans="1:1" ht="15" x14ac:dyDescent="0.25">
      <c r="A342" s="83"/>
    </row>
    <row r="343" spans="1:1" ht="15" x14ac:dyDescent="0.25">
      <c r="A343" s="83"/>
    </row>
    <row r="344" spans="1:1" ht="15" x14ac:dyDescent="0.25">
      <c r="A344" s="83"/>
    </row>
    <row r="345" spans="1:1" ht="15" x14ac:dyDescent="0.25">
      <c r="A345" s="83"/>
    </row>
    <row r="346" spans="1:1" ht="15" x14ac:dyDescent="0.25">
      <c r="A346" s="83"/>
    </row>
    <row r="347" spans="1:1" ht="15" x14ac:dyDescent="0.25">
      <c r="A347" s="83"/>
    </row>
    <row r="348" spans="1:1" ht="15" x14ac:dyDescent="0.25">
      <c r="A348" s="83"/>
    </row>
    <row r="349" spans="1:1" ht="15" x14ac:dyDescent="0.25">
      <c r="A349" s="83"/>
    </row>
    <row r="350" spans="1:1" ht="15" x14ac:dyDescent="0.25">
      <c r="A350" s="83"/>
    </row>
    <row r="351" spans="1:1" ht="15" x14ac:dyDescent="0.25">
      <c r="A351" s="83"/>
    </row>
    <row r="352" spans="1:1" ht="15" x14ac:dyDescent="0.25">
      <c r="A352" s="83"/>
    </row>
    <row r="353" spans="1:1" ht="15" x14ac:dyDescent="0.25">
      <c r="A353" s="83"/>
    </row>
    <row r="354" spans="1:1" ht="15" x14ac:dyDescent="0.25">
      <c r="A354" s="83"/>
    </row>
    <row r="355" spans="1:1" ht="15" x14ac:dyDescent="0.25">
      <c r="A355" s="83"/>
    </row>
    <row r="356" spans="1:1" ht="15" x14ac:dyDescent="0.25">
      <c r="A356" s="83"/>
    </row>
    <row r="357" spans="1:1" ht="15" x14ac:dyDescent="0.25">
      <c r="A357" s="83"/>
    </row>
    <row r="358" spans="1:1" ht="15" x14ac:dyDescent="0.25">
      <c r="A358" s="83"/>
    </row>
    <row r="359" spans="1:1" ht="15" x14ac:dyDescent="0.25">
      <c r="A359" s="83"/>
    </row>
    <row r="360" spans="1:1" ht="15" x14ac:dyDescent="0.25">
      <c r="A360" s="83"/>
    </row>
    <row r="361" spans="1:1" ht="15" x14ac:dyDescent="0.25">
      <c r="A361" s="83"/>
    </row>
    <row r="362" spans="1:1" ht="15" x14ac:dyDescent="0.25">
      <c r="A362" s="83"/>
    </row>
    <row r="363" spans="1:1" ht="15" x14ac:dyDescent="0.25">
      <c r="A363" s="83"/>
    </row>
    <row r="364" spans="1:1" ht="15" x14ac:dyDescent="0.25">
      <c r="A364" s="83"/>
    </row>
    <row r="365" spans="1:1" ht="15" x14ac:dyDescent="0.25">
      <c r="A365" s="83"/>
    </row>
    <row r="366" spans="1:1" ht="15" x14ac:dyDescent="0.25">
      <c r="A366" s="83"/>
    </row>
    <row r="367" spans="1:1" ht="15" x14ac:dyDescent="0.25">
      <c r="A367" s="83"/>
    </row>
    <row r="368" spans="1:1" ht="15" x14ac:dyDescent="0.25">
      <c r="A368" s="83"/>
    </row>
    <row r="369" spans="1:1" ht="15" x14ac:dyDescent="0.25">
      <c r="A369" s="83"/>
    </row>
    <row r="370" spans="1:1" ht="15" x14ac:dyDescent="0.25">
      <c r="A370" s="83"/>
    </row>
    <row r="371" spans="1:1" ht="15" x14ac:dyDescent="0.25">
      <c r="A371" s="83"/>
    </row>
    <row r="372" spans="1:1" ht="15" x14ac:dyDescent="0.25">
      <c r="A372" s="83"/>
    </row>
    <row r="373" spans="1:1" ht="15" x14ac:dyDescent="0.25">
      <c r="A373" s="83"/>
    </row>
    <row r="374" spans="1:1" ht="15" x14ac:dyDescent="0.25">
      <c r="A374" s="83"/>
    </row>
    <row r="375" spans="1:1" ht="15" x14ac:dyDescent="0.25">
      <c r="A375" s="83"/>
    </row>
    <row r="376" spans="1:1" ht="15" x14ac:dyDescent="0.25">
      <c r="A376" s="83"/>
    </row>
    <row r="377" spans="1:1" ht="15" x14ac:dyDescent="0.25">
      <c r="A377" s="83"/>
    </row>
    <row r="378" spans="1:1" ht="15" x14ac:dyDescent="0.25">
      <c r="A378" s="83"/>
    </row>
    <row r="379" spans="1:1" ht="15" x14ac:dyDescent="0.25">
      <c r="A379" s="83"/>
    </row>
    <row r="380" spans="1:1" ht="15" x14ac:dyDescent="0.25">
      <c r="A380" s="83"/>
    </row>
    <row r="381" spans="1:1" ht="15" x14ac:dyDescent="0.25">
      <c r="A381" s="83"/>
    </row>
    <row r="382" spans="1:1" ht="15" x14ac:dyDescent="0.25">
      <c r="A382" s="83"/>
    </row>
    <row r="383" spans="1:1" ht="15" x14ac:dyDescent="0.25">
      <c r="A383" s="83"/>
    </row>
    <row r="384" spans="1:1" ht="15" x14ac:dyDescent="0.25">
      <c r="A384" s="83"/>
    </row>
    <row r="385" spans="1:1" ht="15" x14ac:dyDescent="0.25">
      <c r="A385" s="83"/>
    </row>
    <row r="386" spans="1:1" ht="15" x14ac:dyDescent="0.25">
      <c r="A386" s="83"/>
    </row>
    <row r="387" spans="1:1" ht="15" x14ac:dyDescent="0.25">
      <c r="A387" s="83"/>
    </row>
    <row r="388" spans="1:1" ht="15" x14ac:dyDescent="0.25">
      <c r="A388" s="83"/>
    </row>
    <row r="389" spans="1:1" ht="15" x14ac:dyDescent="0.25">
      <c r="A389" s="83"/>
    </row>
    <row r="390" spans="1:1" ht="15" x14ac:dyDescent="0.25">
      <c r="A390" s="83"/>
    </row>
    <row r="391" spans="1:1" ht="15" x14ac:dyDescent="0.25">
      <c r="A391" s="83"/>
    </row>
    <row r="392" spans="1:1" ht="15" x14ac:dyDescent="0.25">
      <c r="A392" s="83"/>
    </row>
    <row r="393" spans="1:1" ht="15" x14ac:dyDescent="0.25">
      <c r="A393" s="83"/>
    </row>
    <row r="394" spans="1:1" ht="15" x14ac:dyDescent="0.25">
      <c r="A394" s="83"/>
    </row>
    <row r="395" spans="1:1" ht="15" x14ac:dyDescent="0.25">
      <c r="A395" s="83"/>
    </row>
    <row r="396" spans="1:1" ht="15" x14ac:dyDescent="0.25">
      <c r="A396" s="83"/>
    </row>
    <row r="397" spans="1:1" ht="15" x14ac:dyDescent="0.25">
      <c r="A397" s="83"/>
    </row>
    <row r="398" spans="1:1" ht="15" x14ac:dyDescent="0.25">
      <c r="A398" s="83"/>
    </row>
    <row r="399" spans="1:1" ht="15" x14ac:dyDescent="0.25">
      <c r="A399" s="83"/>
    </row>
    <row r="400" spans="1:1" ht="15" x14ac:dyDescent="0.25">
      <c r="A400" s="83"/>
    </row>
    <row r="401" spans="1:1" ht="15" x14ac:dyDescent="0.25">
      <c r="A401" s="83"/>
    </row>
    <row r="402" spans="1:1" ht="15" x14ac:dyDescent="0.25">
      <c r="A402" s="83"/>
    </row>
    <row r="403" spans="1:1" ht="15" x14ac:dyDescent="0.25">
      <c r="A403" s="83"/>
    </row>
    <row r="404" spans="1:1" ht="15" x14ac:dyDescent="0.25">
      <c r="A404" s="83"/>
    </row>
    <row r="405" spans="1:1" ht="15" x14ac:dyDescent="0.25">
      <c r="A405" s="83"/>
    </row>
    <row r="406" spans="1:1" ht="15" x14ac:dyDescent="0.25">
      <c r="A406" s="83"/>
    </row>
    <row r="407" spans="1:1" ht="15" x14ac:dyDescent="0.25">
      <c r="A407" s="83"/>
    </row>
    <row r="408" spans="1:1" ht="15" x14ac:dyDescent="0.25">
      <c r="A408" s="83"/>
    </row>
    <row r="409" spans="1:1" ht="15" x14ac:dyDescent="0.25">
      <c r="A409" s="83"/>
    </row>
    <row r="410" spans="1:1" ht="15" x14ac:dyDescent="0.25">
      <c r="A410" s="83"/>
    </row>
    <row r="411" spans="1:1" ht="15" x14ac:dyDescent="0.25">
      <c r="A411" s="83"/>
    </row>
    <row r="412" spans="1:1" ht="15" x14ac:dyDescent="0.25">
      <c r="A412" s="83"/>
    </row>
    <row r="413" spans="1:1" ht="15" x14ac:dyDescent="0.25">
      <c r="A413" s="83"/>
    </row>
    <row r="414" spans="1:1" ht="15" x14ac:dyDescent="0.25">
      <c r="A414" s="83"/>
    </row>
    <row r="415" spans="1:1" ht="15" x14ac:dyDescent="0.25">
      <c r="A415" s="83"/>
    </row>
    <row r="416" spans="1:1" ht="15" x14ac:dyDescent="0.25">
      <c r="A416" s="83"/>
    </row>
    <row r="417" spans="1:1" ht="15" x14ac:dyDescent="0.25">
      <c r="A417" s="83"/>
    </row>
    <row r="418" spans="1:1" ht="15" x14ac:dyDescent="0.25">
      <c r="A418" s="83"/>
    </row>
    <row r="419" spans="1:1" ht="15" x14ac:dyDescent="0.25">
      <c r="A419" s="83"/>
    </row>
    <row r="420" spans="1:1" ht="15" x14ac:dyDescent="0.25">
      <c r="A420" s="83"/>
    </row>
    <row r="421" spans="1:1" ht="15" x14ac:dyDescent="0.25">
      <c r="A421" s="83"/>
    </row>
    <row r="422" spans="1:1" ht="15" x14ac:dyDescent="0.25">
      <c r="A422" s="83"/>
    </row>
    <row r="423" spans="1:1" ht="15" x14ac:dyDescent="0.25">
      <c r="A423" s="83"/>
    </row>
    <row r="424" spans="1:1" ht="15" x14ac:dyDescent="0.25">
      <c r="A424" s="83"/>
    </row>
    <row r="425" spans="1:1" ht="15" x14ac:dyDescent="0.25">
      <c r="A425" s="83"/>
    </row>
    <row r="426" spans="1:1" ht="15" x14ac:dyDescent="0.25">
      <c r="A426" s="83"/>
    </row>
    <row r="427" spans="1:1" ht="15" x14ac:dyDescent="0.25">
      <c r="A427" s="83"/>
    </row>
    <row r="428" spans="1:1" ht="15" x14ac:dyDescent="0.25">
      <c r="A428" s="83"/>
    </row>
    <row r="429" spans="1:1" ht="15" x14ac:dyDescent="0.25">
      <c r="A429" s="83"/>
    </row>
    <row r="430" spans="1:1" ht="15" x14ac:dyDescent="0.25">
      <c r="A430" s="83"/>
    </row>
    <row r="431" spans="1:1" ht="15" x14ac:dyDescent="0.25">
      <c r="A431" s="83"/>
    </row>
    <row r="432" spans="1:1" ht="15" x14ac:dyDescent="0.25">
      <c r="A432" s="83"/>
    </row>
    <row r="433" spans="1:1" ht="15" x14ac:dyDescent="0.25">
      <c r="A433" s="83"/>
    </row>
    <row r="434" spans="1:1" ht="15" x14ac:dyDescent="0.25">
      <c r="A434" s="83"/>
    </row>
    <row r="435" spans="1:1" ht="15" x14ac:dyDescent="0.25">
      <c r="A435" s="83"/>
    </row>
    <row r="436" spans="1:1" ht="15" x14ac:dyDescent="0.25">
      <c r="A436" s="83"/>
    </row>
    <row r="437" spans="1:1" ht="15" x14ac:dyDescent="0.25">
      <c r="A437" s="83"/>
    </row>
    <row r="438" spans="1:1" ht="15" x14ac:dyDescent="0.25">
      <c r="A438" s="83"/>
    </row>
    <row r="439" spans="1:1" ht="15" x14ac:dyDescent="0.25">
      <c r="A439" s="83"/>
    </row>
    <row r="440" spans="1:1" ht="15" x14ac:dyDescent="0.25">
      <c r="A440" s="83"/>
    </row>
    <row r="441" spans="1:1" ht="15" x14ac:dyDescent="0.25">
      <c r="A441" s="83"/>
    </row>
    <row r="442" spans="1:1" ht="15" x14ac:dyDescent="0.25">
      <c r="A442" s="83"/>
    </row>
    <row r="443" spans="1:1" ht="15" x14ac:dyDescent="0.25">
      <c r="A443" s="83"/>
    </row>
    <row r="444" spans="1:1" ht="15" x14ac:dyDescent="0.25">
      <c r="A444" s="83"/>
    </row>
    <row r="445" spans="1:1" ht="15" x14ac:dyDescent="0.25">
      <c r="A445" s="83"/>
    </row>
    <row r="446" spans="1:1" ht="15" x14ac:dyDescent="0.25">
      <c r="A446" s="83"/>
    </row>
    <row r="447" spans="1:1" ht="15" x14ac:dyDescent="0.25">
      <c r="A447" s="83"/>
    </row>
    <row r="448" spans="1:1" ht="15" x14ac:dyDescent="0.25">
      <c r="A448" s="83"/>
    </row>
    <row r="449" spans="1:1" ht="15" x14ac:dyDescent="0.25">
      <c r="A449" s="83"/>
    </row>
    <row r="450" spans="1:1" ht="15" x14ac:dyDescent="0.25">
      <c r="A450" s="83"/>
    </row>
    <row r="451" spans="1:1" ht="15" x14ac:dyDescent="0.25">
      <c r="A451" s="83"/>
    </row>
    <row r="452" spans="1:1" ht="15" x14ac:dyDescent="0.25">
      <c r="A452" s="83"/>
    </row>
    <row r="453" spans="1:1" ht="15" x14ac:dyDescent="0.25">
      <c r="A453" s="83"/>
    </row>
    <row r="454" spans="1:1" ht="15" x14ac:dyDescent="0.25">
      <c r="A454" s="83"/>
    </row>
    <row r="455" spans="1:1" ht="15" x14ac:dyDescent="0.25">
      <c r="A455" s="83"/>
    </row>
    <row r="456" spans="1:1" ht="15" x14ac:dyDescent="0.25">
      <c r="A456" s="83"/>
    </row>
    <row r="457" spans="1:1" ht="15" x14ac:dyDescent="0.25">
      <c r="A457" s="83"/>
    </row>
    <row r="458" spans="1:1" ht="15" x14ac:dyDescent="0.25">
      <c r="A458" s="83"/>
    </row>
    <row r="459" spans="1:1" ht="15" x14ac:dyDescent="0.25">
      <c r="A459" s="83"/>
    </row>
    <row r="460" spans="1:1" ht="15" x14ac:dyDescent="0.25">
      <c r="A460" s="83"/>
    </row>
    <row r="461" spans="1:1" ht="15" x14ac:dyDescent="0.25">
      <c r="A461" s="83"/>
    </row>
    <row r="462" spans="1:1" ht="15" x14ac:dyDescent="0.25">
      <c r="A462" s="83"/>
    </row>
    <row r="463" spans="1:1" ht="15" x14ac:dyDescent="0.25">
      <c r="A463" s="83"/>
    </row>
    <row r="464" spans="1:1" ht="15" x14ac:dyDescent="0.25">
      <c r="A464" s="83"/>
    </row>
    <row r="465" spans="1:1" ht="15" x14ac:dyDescent="0.25">
      <c r="A465" s="83"/>
    </row>
    <row r="466" spans="1:1" ht="15" x14ac:dyDescent="0.25">
      <c r="A466" s="83"/>
    </row>
    <row r="467" spans="1:1" ht="15" x14ac:dyDescent="0.25">
      <c r="A467" s="83"/>
    </row>
    <row r="468" spans="1:1" ht="15" x14ac:dyDescent="0.25">
      <c r="A468" s="83"/>
    </row>
    <row r="469" spans="1:1" ht="15" x14ac:dyDescent="0.25">
      <c r="A469" s="83"/>
    </row>
    <row r="470" spans="1:1" ht="15" x14ac:dyDescent="0.25">
      <c r="A470" s="83"/>
    </row>
    <row r="471" spans="1:1" ht="15" x14ac:dyDescent="0.25">
      <c r="A471" s="83"/>
    </row>
    <row r="472" spans="1:1" ht="15" x14ac:dyDescent="0.25">
      <c r="A472" s="83"/>
    </row>
    <row r="473" spans="1:1" ht="15" x14ac:dyDescent="0.25">
      <c r="A473" s="83"/>
    </row>
    <row r="474" spans="1:1" ht="15" x14ac:dyDescent="0.25">
      <c r="A474" s="83"/>
    </row>
    <row r="475" spans="1:1" ht="15" x14ac:dyDescent="0.25">
      <c r="A475" s="83"/>
    </row>
    <row r="476" spans="1:1" ht="15" x14ac:dyDescent="0.25">
      <c r="A476" s="83"/>
    </row>
    <row r="477" spans="1:1" ht="15" x14ac:dyDescent="0.25">
      <c r="A477" s="83"/>
    </row>
    <row r="478" spans="1:1" ht="15" x14ac:dyDescent="0.25">
      <c r="A478" s="83"/>
    </row>
    <row r="479" spans="1:1" ht="15" x14ac:dyDescent="0.25">
      <c r="A479" s="83"/>
    </row>
    <row r="480" spans="1:1" ht="15" x14ac:dyDescent="0.25">
      <c r="A480" s="83"/>
    </row>
    <row r="481" spans="1:1" ht="15" x14ac:dyDescent="0.25">
      <c r="A481" s="83"/>
    </row>
    <row r="482" spans="1:1" ht="15" x14ac:dyDescent="0.25">
      <c r="A482" s="83"/>
    </row>
    <row r="483" spans="1:1" ht="15" x14ac:dyDescent="0.25">
      <c r="A483" s="83"/>
    </row>
    <row r="484" spans="1:1" ht="15" x14ac:dyDescent="0.25">
      <c r="A484" s="83"/>
    </row>
    <row r="485" spans="1:1" ht="15" x14ac:dyDescent="0.25">
      <c r="A485" s="83"/>
    </row>
    <row r="486" spans="1:1" ht="15" x14ac:dyDescent="0.25">
      <c r="A486" s="83"/>
    </row>
    <row r="487" spans="1:1" ht="15" x14ac:dyDescent="0.25">
      <c r="A487" s="83"/>
    </row>
    <row r="488" spans="1:1" ht="15" x14ac:dyDescent="0.25">
      <c r="A488" s="83"/>
    </row>
    <row r="489" spans="1:1" ht="15" x14ac:dyDescent="0.25">
      <c r="A489" s="83"/>
    </row>
    <row r="490" spans="1:1" ht="15" x14ac:dyDescent="0.25">
      <c r="A490" s="83"/>
    </row>
    <row r="491" spans="1:1" ht="15" x14ac:dyDescent="0.25">
      <c r="A491" s="83"/>
    </row>
    <row r="492" spans="1:1" ht="15" x14ac:dyDescent="0.25">
      <c r="A492" s="83"/>
    </row>
    <row r="493" spans="1:1" ht="15" x14ac:dyDescent="0.25">
      <c r="A493" s="83"/>
    </row>
    <row r="494" spans="1:1" ht="15" x14ac:dyDescent="0.25">
      <c r="A494" s="83"/>
    </row>
    <row r="495" spans="1:1" ht="15" x14ac:dyDescent="0.25">
      <c r="A495" s="83"/>
    </row>
    <row r="496" spans="1:1" ht="15" x14ac:dyDescent="0.25">
      <c r="A496" s="83"/>
    </row>
    <row r="497" spans="1:1" ht="15" x14ac:dyDescent="0.25">
      <c r="A497" s="83"/>
    </row>
    <row r="498" spans="1:1" ht="15" x14ac:dyDescent="0.25">
      <c r="A498" s="83"/>
    </row>
    <row r="499" spans="1:1" ht="15" x14ac:dyDescent="0.25">
      <c r="A499" s="83"/>
    </row>
    <row r="500" spans="1:1" ht="15" x14ac:dyDescent="0.25">
      <c r="A500" s="83"/>
    </row>
    <row r="501" spans="1:1" ht="15" x14ac:dyDescent="0.25">
      <c r="A501" s="83"/>
    </row>
    <row r="502" spans="1:1" ht="15" x14ac:dyDescent="0.25">
      <c r="A502" s="83"/>
    </row>
    <row r="503" spans="1:1" ht="15" x14ac:dyDescent="0.25">
      <c r="A503" s="83"/>
    </row>
    <row r="504" spans="1:1" ht="15" x14ac:dyDescent="0.25">
      <c r="A504" s="83"/>
    </row>
    <row r="505" spans="1:1" ht="15" x14ac:dyDescent="0.25">
      <c r="A505" s="83"/>
    </row>
    <row r="506" spans="1:1" ht="15" x14ac:dyDescent="0.25">
      <c r="A506" s="83"/>
    </row>
    <row r="507" spans="1:1" ht="15" x14ac:dyDescent="0.25">
      <c r="A507" s="83"/>
    </row>
    <row r="508" spans="1:1" ht="15" x14ac:dyDescent="0.25">
      <c r="A508" s="83"/>
    </row>
    <row r="509" spans="1:1" ht="15" x14ac:dyDescent="0.25">
      <c r="A509" s="83"/>
    </row>
    <row r="510" spans="1:1" ht="15" x14ac:dyDescent="0.25">
      <c r="A510" s="83"/>
    </row>
    <row r="511" spans="1:1" ht="15" x14ac:dyDescent="0.25">
      <c r="A511" s="83"/>
    </row>
    <row r="512" spans="1:1" ht="15" x14ac:dyDescent="0.25">
      <c r="A512" s="83"/>
    </row>
    <row r="513" spans="1:1" ht="15" x14ac:dyDescent="0.25">
      <c r="A513" s="83"/>
    </row>
    <row r="514" spans="1:1" ht="15" x14ac:dyDescent="0.25">
      <c r="A514" s="83"/>
    </row>
    <row r="515" spans="1:1" ht="15" x14ac:dyDescent="0.25">
      <c r="A515" s="83"/>
    </row>
    <row r="516" spans="1:1" ht="15" x14ac:dyDescent="0.25">
      <c r="A516" s="83"/>
    </row>
    <row r="517" spans="1:1" ht="15" x14ac:dyDescent="0.25">
      <c r="A517" s="83"/>
    </row>
    <row r="518" spans="1:1" ht="15" x14ac:dyDescent="0.25">
      <c r="A518" s="83"/>
    </row>
    <row r="519" spans="1:1" ht="15" x14ac:dyDescent="0.25">
      <c r="A519" s="83"/>
    </row>
    <row r="520" spans="1:1" ht="15" x14ac:dyDescent="0.25">
      <c r="A520" s="83"/>
    </row>
    <row r="521" spans="1:1" ht="15" x14ac:dyDescent="0.25">
      <c r="A521" s="83"/>
    </row>
    <row r="522" spans="1:1" ht="15" x14ac:dyDescent="0.25">
      <c r="A522" s="83"/>
    </row>
    <row r="523" spans="1:1" ht="15" x14ac:dyDescent="0.25">
      <c r="A523" s="83"/>
    </row>
    <row r="524" spans="1:1" ht="15" x14ac:dyDescent="0.25">
      <c r="A524" s="83"/>
    </row>
    <row r="525" spans="1:1" ht="15" x14ac:dyDescent="0.25">
      <c r="A525" s="83"/>
    </row>
    <row r="526" spans="1:1" ht="15" x14ac:dyDescent="0.25">
      <c r="A526" s="83"/>
    </row>
    <row r="527" spans="1:1" ht="15" x14ac:dyDescent="0.25">
      <c r="A527" s="83"/>
    </row>
    <row r="528" spans="1:1" ht="15" x14ac:dyDescent="0.25">
      <c r="A528" s="83"/>
    </row>
    <row r="529" spans="1:1" ht="15" x14ac:dyDescent="0.25">
      <c r="A529" s="83"/>
    </row>
    <row r="530" spans="1:1" ht="15" x14ac:dyDescent="0.25">
      <c r="A530" s="83"/>
    </row>
    <row r="531" spans="1:1" ht="15" x14ac:dyDescent="0.25">
      <c r="A531" s="83"/>
    </row>
    <row r="532" spans="1:1" ht="15" x14ac:dyDescent="0.25">
      <c r="A532" s="83"/>
    </row>
    <row r="533" spans="1:1" ht="15" x14ac:dyDescent="0.25">
      <c r="A533" s="83"/>
    </row>
    <row r="534" spans="1:1" ht="15" x14ac:dyDescent="0.25">
      <c r="A534" s="83"/>
    </row>
    <row r="535" spans="1:1" ht="15" x14ac:dyDescent="0.25">
      <c r="A535" s="83"/>
    </row>
    <row r="536" spans="1:1" ht="15" x14ac:dyDescent="0.25">
      <c r="A536" s="83"/>
    </row>
    <row r="537" spans="1:1" ht="15" x14ac:dyDescent="0.25">
      <c r="A537" s="83"/>
    </row>
    <row r="538" spans="1:1" ht="15" x14ac:dyDescent="0.25">
      <c r="A538" s="83"/>
    </row>
    <row r="539" spans="1:1" ht="15" x14ac:dyDescent="0.25">
      <c r="A539" s="83"/>
    </row>
    <row r="540" spans="1:1" ht="15" x14ac:dyDescent="0.25">
      <c r="A540" s="83"/>
    </row>
    <row r="541" spans="1:1" ht="15" x14ac:dyDescent="0.25">
      <c r="A541" s="83"/>
    </row>
    <row r="542" spans="1:1" ht="15" x14ac:dyDescent="0.25">
      <c r="A542" s="83"/>
    </row>
    <row r="543" spans="1:1" ht="15" x14ac:dyDescent="0.25">
      <c r="A543" s="83"/>
    </row>
    <row r="544" spans="1:1" ht="15" x14ac:dyDescent="0.25">
      <c r="A544" s="83"/>
    </row>
    <row r="545" spans="1:1" ht="15" x14ac:dyDescent="0.25">
      <c r="A545" s="83"/>
    </row>
    <row r="546" spans="1:1" ht="15" x14ac:dyDescent="0.25">
      <c r="A546" s="83"/>
    </row>
    <row r="547" spans="1:1" ht="15" x14ac:dyDescent="0.25">
      <c r="A547" s="83"/>
    </row>
    <row r="548" spans="1:1" ht="15" x14ac:dyDescent="0.25">
      <c r="A548" s="83"/>
    </row>
    <row r="549" spans="1:1" ht="15" x14ac:dyDescent="0.25">
      <c r="A549" s="83"/>
    </row>
    <row r="550" spans="1:1" ht="15" x14ac:dyDescent="0.25">
      <c r="A550" s="83"/>
    </row>
    <row r="551" spans="1:1" ht="15" x14ac:dyDescent="0.25">
      <c r="A551" s="83"/>
    </row>
    <row r="552" spans="1:1" ht="15" x14ac:dyDescent="0.25">
      <c r="A552" s="83"/>
    </row>
    <row r="553" spans="1:1" ht="15" x14ac:dyDescent="0.25">
      <c r="A553" s="83"/>
    </row>
    <row r="554" spans="1:1" ht="15" x14ac:dyDescent="0.25">
      <c r="A554" s="83"/>
    </row>
    <row r="555" spans="1:1" ht="15" x14ac:dyDescent="0.25">
      <c r="A555" s="83"/>
    </row>
    <row r="556" spans="1:1" ht="15" x14ac:dyDescent="0.25">
      <c r="A556" s="83"/>
    </row>
    <row r="557" spans="1:1" ht="15" x14ac:dyDescent="0.25">
      <c r="A557" s="83"/>
    </row>
    <row r="558" spans="1:1" ht="15" x14ac:dyDescent="0.25">
      <c r="A558" s="83"/>
    </row>
    <row r="559" spans="1:1" ht="15" x14ac:dyDescent="0.25">
      <c r="A559" s="83"/>
    </row>
    <row r="560" spans="1:1" ht="15" x14ac:dyDescent="0.25">
      <c r="A560" s="83"/>
    </row>
    <row r="561" spans="1:1" ht="15" x14ac:dyDescent="0.25">
      <c r="A561" s="83"/>
    </row>
    <row r="562" spans="1:1" ht="15" x14ac:dyDescent="0.25">
      <c r="A562" s="83"/>
    </row>
    <row r="563" spans="1:1" ht="15" x14ac:dyDescent="0.25">
      <c r="A563" s="83"/>
    </row>
    <row r="564" spans="1:1" ht="15" x14ac:dyDescent="0.25">
      <c r="A564" s="83"/>
    </row>
    <row r="565" spans="1:1" ht="15" x14ac:dyDescent="0.25">
      <c r="A565" s="83"/>
    </row>
    <row r="566" spans="1:1" ht="15" x14ac:dyDescent="0.25">
      <c r="A566" s="83"/>
    </row>
    <row r="567" spans="1:1" ht="15" x14ac:dyDescent="0.25">
      <c r="A567" s="83"/>
    </row>
    <row r="568" spans="1:1" ht="15" x14ac:dyDescent="0.25">
      <c r="A568" s="83"/>
    </row>
    <row r="569" spans="1:1" ht="15" x14ac:dyDescent="0.25">
      <c r="A569" s="83"/>
    </row>
    <row r="570" spans="1:1" ht="15" x14ac:dyDescent="0.25">
      <c r="A570" s="83"/>
    </row>
    <row r="571" spans="1:1" ht="15" x14ac:dyDescent="0.25">
      <c r="A571" s="83"/>
    </row>
    <row r="572" spans="1:1" ht="15" x14ac:dyDescent="0.25">
      <c r="A572" s="83"/>
    </row>
    <row r="573" spans="1:1" ht="15" x14ac:dyDescent="0.25">
      <c r="A573" s="83"/>
    </row>
    <row r="574" spans="1:1" ht="15" x14ac:dyDescent="0.25">
      <c r="A574" s="83"/>
    </row>
    <row r="575" spans="1:1" ht="15" x14ac:dyDescent="0.25">
      <c r="A575" s="83"/>
    </row>
    <row r="576" spans="1:1" ht="15" x14ac:dyDescent="0.25">
      <c r="A576" s="83"/>
    </row>
    <row r="577" spans="1:1" ht="15" x14ac:dyDescent="0.25">
      <c r="A577" s="83"/>
    </row>
    <row r="578" spans="1:1" ht="15" x14ac:dyDescent="0.25">
      <c r="A578" s="83"/>
    </row>
    <row r="579" spans="1:1" ht="15" x14ac:dyDescent="0.25">
      <c r="A579" s="83"/>
    </row>
    <row r="580" spans="1:1" ht="15" x14ac:dyDescent="0.25">
      <c r="A580" s="83"/>
    </row>
    <row r="581" spans="1:1" ht="15" x14ac:dyDescent="0.25">
      <c r="A581" s="83"/>
    </row>
    <row r="582" spans="1:1" ht="15" x14ac:dyDescent="0.25">
      <c r="A582" s="83"/>
    </row>
    <row r="583" spans="1:1" ht="15" x14ac:dyDescent="0.25">
      <c r="A583" s="83"/>
    </row>
    <row r="584" spans="1:1" ht="15" x14ac:dyDescent="0.25">
      <c r="A584" s="83"/>
    </row>
    <row r="585" spans="1:1" ht="15" x14ac:dyDescent="0.25">
      <c r="A585" s="83"/>
    </row>
    <row r="586" spans="1:1" ht="15" x14ac:dyDescent="0.25">
      <c r="A586" s="83"/>
    </row>
    <row r="587" spans="1:1" ht="15" x14ac:dyDescent="0.25">
      <c r="A587" s="83"/>
    </row>
    <row r="588" spans="1:1" ht="15" x14ac:dyDescent="0.25">
      <c r="A588" s="83"/>
    </row>
    <row r="589" spans="1:1" ht="15" x14ac:dyDescent="0.25">
      <c r="A589" s="83"/>
    </row>
    <row r="590" spans="1:1" ht="15" x14ac:dyDescent="0.25">
      <c r="A590" s="83"/>
    </row>
    <row r="591" spans="1:1" ht="15" x14ac:dyDescent="0.25">
      <c r="A591" s="83"/>
    </row>
    <row r="592" spans="1:1" ht="15" x14ac:dyDescent="0.25">
      <c r="A592" s="83"/>
    </row>
    <row r="593" spans="1:1" ht="15" x14ac:dyDescent="0.25">
      <c r="A593" s="83"/>
    </row>
    <row r="594" spans="1:1" ht="15" x14ac:dyDescent="0.25">
      <c r="A594" s="83"/>
    </row>
    <row r="595" spans="1:1" ht="15" x14ac:dyDescent="0.25">
      <c r="A595" s="83"/>
    </row>
    <row r="596" spans="1:1" ht="15" x14ac:dyDescent="0.25">
      <c r="A596" s="83"/>
    </row>
    <row r="597" spans="1:1" ht="15" x14ac:dyDescent="0.25">
      <c r="A597" s="83"/>
    </row>
    <row r="598" spans="1:1" ht="15" x14ac:dyDescent="0.25">
      <c r="A598" s="83"/>
    </row>
    <row r="599" spans="1:1" ht="15" x14ac:dyDescent="0.25">
      <c r="A599" s="83"/>
    </row>
    <row r="600" spans="1:1" ht="15" x14ac:dyDescent="0.25">
      <c r="A600" s="83"/>
    </row>
    <row r="601" spans="1:1" ht="15" x14ac:dyDescent="0.25">
      <c r="A601" s="83"/>
    </row>
    <row r="602" spans="1:1" ht="15" x14ac:dyDescent="0.25">
      <c r="A602" s="83"/>
    </row>
    <row r="603" spans="1:1" ht="15" x14ac:dyDescent="0.25">
      <c r="A603" s="83"/>
    </row>
    <row r="604" spans="1:1" ht="15" x14ac:dyDescent="0.25">
      <c r="A604" s="83"/>
    </row>
    <row r="605" spans="1:1" ht="15" x14ac:dyDescent="0.25">
      <c r="A605" s="83"/>
    </row>
    <row r="606" spans="1:1" ht="15" x14ac:dyDescent="0.25">
      <c r="A606" s="83"/>
    </row>
    <row r="607" spans="1:1" ht="15" x14ac:dyDescent="0.25">
      <c r="A607" s="83"/>
    </row>
    <row r="608" spans="1:1" ht="15" x14ac:dyDescent="0.25">
      <c r="A608" s="83"/>
    </row>
    <row r="609" spans="1:1" ht="15" x14ac:dyDescent="0.25">
      <c r="A609" s="83"/>
    </row>
    <row r="610" spans="1:1" ht="15" x14ac:dyDescent="0.25">
      <c r="A610" s="83"/>
    </row>
    <row r="611" spans="1:1" ht="15" x14ac:dyDescent="0.25">
      <c r="A611" s="83"/>
    </row>
    <row r="612" spans="1:1" ht="15" x14ac:dyDescent="0.25">
      <c r="A612" s="83"/>
    </row>
    <row r="613" spans="1:1" ht="15" x14ac:dyDescent="0.25">
      <c r="A613" s="83"/>
    </row>
    <row r="614" spans="1:1" ht="15" x14ac:dyDescent="0.25">
      <c r="A614" s="83"/>
    </row>
    <row r="615" spans="1:1" ht="15" x14ac:dyDescent="0.25">
      <c r="A615" s="83"/>
    </row>
    <row r="616" spans="1:1" ht="15" x14ac:dyDescent="0.25">
      <c r="A616" s="83"/>
    </row>
    <row r="617" spans="1:1" ht="15" x14ac:dyDescent="0.25">
      <c r="A617" s="83"/>
    </row>
    <row r="618" spans="1:1" ht="15" x14ac:dyDescent="0.25">
      <c r="A618" s="83"/>
    </row>
    <row r="619" spans="1:1" ht="15" x14ac:dyDescent="0.25">
      <c r="A619" s="83"/>
    </row>
    <row r="620" spans="1:1" ht="15" x14ac:dyDescent="0.25">
      <c r="A620" s="83"/>
    </row>
    <row r="621" spans="1:1" ht="15" x14ac:dyDescent="0.25">
      <c r="A621" s="83"/>
    </row>
    <row r="622" spans="1:1" ht="15" x14ac:dyDescent="0.25">
      <c r="A622" s="83"/>
    </row>
    <row r="623" spans="1:1" ht="15" x14ac:dyDescent="0.25">
      <c r="A623" s="83"/>
    </row>
    <row r="624" spans="1:1" ht="15" x14ac:dyDescent="0.25">
      <c r="A624" s="83"/>
    </row>
    <row r="625" spans="1:1" ht="15" x14ac:dyDescent="0.25">
      <c r="A625" s="83"/>
    </row>
    <row r="626" spans="1:1" ht="15" x14ac:dyDescent="0.25">
      <c r="A626" s="83"/>
    </row>
    <row r="627" spans="1:1" ht="15" x14ac:dyDescent="0.25">
      <c r="A627" s="83"/>
    </row>
    <row r="628" spans="1:1" ht="15" x14ac:dyDescent="0.25">
      <c r="A628" s="83"/>
    </row>
    <row r="629" spans="1:1" ht="15" x14ac:dyDescent="0.25">
      <c r="A629" s="83"/>
    </row>
    <row r="630" spans="1:1" ht="15" x14ac:dyDescent="0.25">
      <c r="A630" s="83"/>
    </row>
    <row r="631" spans="1:1" ht="15" x14ac:dyDescent="0.25">
      <c r="A631" s="83"/>
    </row>
    <row r="632" spans="1:1" ht="15" x14ac:dyDescent="0.25">
      <c r="A632" s="83"/>
    </row>
    <row r="633" spans="1:1" ht="15" x14ac:dyDescent="0.25">
      <c r="A633" s="83"/>
    </row>
    <row r="634" spans="1:1" ht="15" x14ac:dyDescent="0.25">
      <c r="A634" s="83"/>
    </row>
    <row r="635" spans="1:1" ht="15" x14ac:dyDescent="0.25">
      <c r="A635" s="83"/>
    </row>
    <row r="636" spans="1:1" ht="15" x14ac:dyDescent="0.25">
      <c r="A636" s="83"/>
    </row>
    <row r="637" spans="1:1" ht="15" x14ac:dyDescent="0.25">
      <c r="A637" s="83"/>
    </row>
    <row r="638" spans="1:1" ht="15" x14ac:dyDescent="0.25">
      <c r="A638" s="83"/>
    </row>
    <row r="639" spans="1:1" ht="15" x14ac:dyDescent="0.25">
      <c r="A639" s="83"/>
    </row>
    <row r="640" spans="1:1" ht="15" x14ac:dyDescent="0.25">
      <c r="A640" s="83"/>
    </row>
    <row r="641" spans="1:1" ht="15" x14ac:dyDescent="0.25">
      <c r="A641" s="83"/>
    </row>
    <row r="642" spans="1:1" ht="15" x14ac:dyDescent="0.25">
      <c r="A642" s="83"/>
    </row>
    <row r="643" spans="1:1" ht="15" x14ac:dyDescent="0.25">
      <c r="A643" s="83"/>
    </row>
    <row r="644" spans="1:1" ht="15" x14ac:dyDescent="0.25">
      <c r="A644" s="83"/>
    </row>
    <row r="645" spans="1:1" ht="15" x14ac:dyDescent="0.25">
      <c r="A645" s="83"/>
    </row>
    <row r="646" spans="1:1" ht="15" x14ac:dyDescent="0.25">
      <c r="A646" s="83"/>
    </row>
    <row r="647" spans="1:1" ht="15" x14ac:dyDescent="0.25">
      <c r="A647" s="83"/>
    </row>
    <row r="648" spans="1:1" ht="15" x14ac:dyDescent="0.25">
      <c r="A648" s="83"/>
    </row>
    <row r="649" spans="1:1" ht="15" x14ac:dyDescent="0.25">
      <c r="A649" s="83"/>
    </row>
    <row r="650" spans="1:1" ht="15" x14ac:dyDescent="0.25">
      <c r="A650" s="83"/>
    </row>
    <row r="651" spans="1:1" ht="15" x14ac:dyDescent="0.25">
      <c r="A651" s="83"/>
    </row>
    <row r="652" spans="1:1" ht="15" x14ac:dyDescent="0.25">
      <c r="A652" s="83"/>
    </row>
    <row r="653" spans="1:1" ht="15" x14ac:dyDescent="0.25">
      <c r="A653" s="83"/>
    </row>
    <row r="654" spans="1:1" ht="15" x14ac:dyDescent="0.25">
      <c r="A654" s="83"/>
    </row>
    <row r="655" spans="1:1" ht="15" x14ac:dyDescent="0.25">
      <c r="A655" s="83"/>
    </row>
    <row r="656" spans="1:1" ht="15" x14ac:dyDescent="0.25">
      <c r="A656" s="83"/>
    </row>
    <row r="657" spans="1:1" ht="15" x14ac:dyDescent="0.25">
      <c r="A657" s="83"/>
    </row>
    <row r="658" spans="1:1" ht="15" x14ac:dyDescent="0.25">
      <c r="A658" s="83"/>
    </row>
    <row r="659" spans="1:1" ht="15" x14ac:dyDescent="0.25">
      <c r="A659" s="83"/>
    </row>
    <row r="660" spans="1:1" ht="15" x14ac:dyDescent="0.25">
      <c r="A660" s="83"/>
    </row>
    <row r="661" spans="1:1" ht="15" x14ac:dyDescent="0.25">
      <c r="A661" s="83"/>
    </row>
    <row r="662" spans="1:1" ht="15" x14ac:dyDescent="0.25">
      <c r="A662" s="83"/>
    </row>
    <row r="663" spans="1:1" ht="15" x14ac:dyDescent="0.25">
      <c r="A663" s="83"/>
    </row>
    <row r="664" spans="1:1" ht="15" x14ac:dyDescent="0.25">
      <c r="A664" s="83"/>
    </row>
    <row r="665" spans="1:1" ht="15" x14ac:dyDescent="0.25">
      <c r="A665" s="83"/>
    </row>
    <row r="666" spans="1:1" ht="15" x14ac:dyDescent="0.25">
      <c r="A666" s="83"/>
    </row>
    <row r="667" spans="1:1" ht="15" x14ac:dyDescent="0.25">
      <c r="A667" s="83"/>
    </row>
    <row r="668" spans="1:1" ht="15" x14ac:dyDescent="0.25">
      <c r="A668" s="83"/>
    </row>
    <row r="669" spans="1:1" ht="15" x14ac:dyDescent="0.25">
      <c r="A669" s="83"/>
    </row>
    <row r="670" spans="1:1" ht="15" x14ac:dyDescent="0.25">
      <c r="A670" s="83"/>
    </row>
    <row r="671" spans="1:1" ht="15" x14ac:dyDescent="0.25">
      <c r="A671" s="83"/>
    </row>
    <row r="672" spans="1:1" ht="15" x14ac:dyDescent="0.25">
      <c r="A672" s="83"/>
    </row>
    <row r="673" spans="1:1" ht="15" x14ac:dyDescent="0.25">
      <c r="A673" s="83"/>
    </row>
    <row r="674" spans="1:1" ht="15" x14ac:dyDescent="0.25">
      <c r="A674" s="83"/>
    </row>
    <row r="675" spans="1:1" ht="15" x14ac:dyDescent="0.25">
      <c r="A675" s="83"/>
    </row>
    <row r="676" spans="1:1" ht="15" x14ac:dyDescent="0.25">
      <c r="A676" s="83"/>
    </row>
    <row r="677" spans="1:1" ht="15" x14ac:dyDescent="0.25">
      <c r="A677" s="83"/>
    </row>
    <row r="678" spans="1:1" ht="15" x14ac:dyDescent="0.25">
      <c r="A678" s="83"/>
    </row>
    <row r="679" spans="1:1" ht="15" x14ac:dyDescent="0.25">
      <c r="A679" s="83"/>
    </row>
    <row r="680" spans="1:1" ht="15" x14ac:dyDescent="0.25">
      <c r="A680" s="83"/>
    </row>
    <row r="681" spans="1:1" ht="15" x14ac:dyDescent="0.25">
      <c r="A681" s="83"/>
    </row>
    <row r="682" spans="1:1" ht="15" x14ac:dyDescent="0.25">
      <c r="A682" s="83"/>
    </row>
    <row r="683" spans="1:1" ht="15" x14ac:dyDescent="0.25">
      <c r="A683" s="83"/>
    </row>
    <row r="684" spans="1:1" ht="15" x14ac:dyDescent="0.25">
      <c r="A684" s="83"/>
    </row>
    <row r="685" spans="1:1" ht="15" x14ac:dyDescent="0.25">
      <c r="A685" s="83"/>
    </row>
    <row r="686" spans="1:1" ht="15" x14ac:dyDescent="0.25">
      <c r="A686" s="83"/>
    </row>
    <row r="687" spans="1:1" ht="15" x14ac:dyDescent="0.25">
      <c r="A687" s="83"/>
    </row>
    <row r="688" spans="1:1" ht="15" x14ac:dyDescent="0.25">
      <c r="A688" s="83"/>
    </row>
    <row r="689" spans="1:1" ht="15" x14ac:dyDescent="0.25">
      <c r="A689" s="83"/>
    </row>
    <row r="690" spans="1:1" ht="15" x14ac:dyDescent="0.25">
      <c r="A690" s="83"/>
    </row>
    <row r="691" spans="1:1" ht="15" x14ac:dyDescent="0.25">
      <c r="A691" s="83"/>
    </row>
    <row r="692" spans="1:1" ht="15" x14ac:dyDescent="0.25">
      <c r="A692" s="83"/>
    </row>
    <row r="693" spans="1:1" ht="15" x14ac:dyDescent="0.25">
      <c r="A693" s="83"/>
    </row>
    <row r="694" spans="1:1" ht="15" x14ac:dyDescent="0.25">
      <c r="A694" s="83"/>
    </row>
    <row r="695" spans="1:1" ht="15" x14ac:dyDescent="0.25">
      <c r="A695" s="83"/>
    </row>
    <row r="696" spans="1:1" ht="15" x14ac:dyDescent="0.25">
      <c r="A696" s="83"/>
    </row>
    <row r="697" spans="1:1" ht="15" x14ac:dyDescent="0.25">
      <c r="A697" s="83"/>
    </row>
    <row r="698" spans="1:1" ht="15" x14ac:dyDescent="0.25">
      <c r="A698" s="83"/>
    </row>
    <row r="699" spans="1:1" ht="15" x14ac:dyDescent="0.25">
      <c r="A699" s="83"/>
    </row>
    <row r="700" spans="1:1" ht="15" x14ac:dyDescent="0.25">
      <c r="A700" s="83"/>
    </row>
    <row r="701" spans="1:1" ht="15" x14ac:dyDescent="0.25">
      <c r="A701" s="83"/>
    </row>
    <row r="702" spans="1:1" ht="15" x14ac:dyDescent="0.25">
      <c r="A702" s="83"/>
    </row>
    <row r="703" spans="1:1" ht="15" x14ac:dyDescent="0.25">
      <c r="A703" s="83"/>
    </row>
    <row r="704" spans="1:1" ht="15" x14ac:dyDescent="0.25">
      <c r="A704" s="83"/>
    </row>
    <row r="705" spans="1:1" ht="15" x14ac:dyDescent="0.25">
      <c r="A705" s="83"/>
    </row>
    <row r="706" spans="1:1" ht="15" x14ac:dyDescent="0.25">
      <c r="A706" s="83"/>
    </row>
    <row r="707" spans="1:1" ht="15" x14ac:dyDescent="0.25">
      <c r="A707" s="83"/>
    </row>
    <row r="708" spans="1:1" ht="15" x14ac:dyDescent="0.25">
      <c r="A708" s="83"/>
    </row>
    <row r="709" spans="1:1" ht="15" x14ac:dyDescent="0.25">
      <c r="A709" s="83"/>
    </row>
    <row r="710" spans="1:1" ht="15" x14ac:dyDescent="0.25">
      <c r="A710" s="83"/>
    </row>
    <row r="711" spans="1:1" ht="15" x14ac:dyDescent="0.25">
      <c r="A711" s="83"/>
    </row>
    <row r="712" spans="1:1" ht="15" x14ac:dyDescent="0.25">
      <c r="A712" s="83"/>
    </row>
    <row r="713" spans="1:1" ht="15" x14ac:dyDescent="0.25">
      <c r="A713" s="83"/>
    </row>
    <row r="714" spans="1:1" ht="15" x14ac:dyDescent="0.25">
      <c r="A714" s="83"/>
    </row>
    <row r="715" spans="1:1" ht="15" x14ac:dyDescent="0.25">
      <c r="A715" s="83"/>
    </row>
    <row r="716" spans="1:1" ht="15" x14ac:dyDescent="0.25">
      <c r="A716" s="83"/>
    </row>
    <row r="717" spans="1:1" ht="15" x14ac:dyDescent="0.25">
      <c r="A717" s="83"/>
    </row>
    <row r="718" spans="1:1" ht="15" x14ac:dyDescent="0.25">
      <c r="A718" s="83"/>
    </row>
    <row r="719" spans="1:1" ht="15" x14ac:dyDescent="0.25">
      <c r="A719" s="83"/>
    </row>
    <row r="720" spans="1:1" ht="15" x14ac:dyDescent="0.25">
      <c r="A720" s="83"/>
    </row>
    <row r="721" spans="1:1" ht="15" x14ac:dyDescent="0.25">
      <c r="A721" s="83"/>
    </row>
    <row r="722" spans="1:1" ht="15" x14ac:dyDescent="0.25">
      <c r="A722" s="83"/>
    </row>
    <row r="723" spans="1:1" ht="15" x14ac:dyDescent="0.25">
      <c r="A723" s="83"/>
    </row>
    <row r="724" spans="1:1" ht="15" x14ac:dyDescent="0.25">
      <c r="A724" s="83"/>
    </row>
    <row r="725" spans="1:1" ht="15" x14ac:dyDescent="0.25">
      <c r="A725" s="83"/>
    </row>
    <row r="726" spans="1:1" ht="15" x14ac:dyDescent="0.25">
      <c r="A726" s="83"/>
    </row>
    <row r="727" spans="1:1" ht="15" x14ac:dyDescent="0.25">
      <c r="A727" s="83"/>
    </row>
    <row r="728" spans="1:1" ht="15" x14ac:dyDescent="0.25">
      <c r="A728" s="83"/>
    </row>
    <row r="729" spans="1:1" ht="15" x14ac:dyDescent="0.25">
      <c r="A729" s="83"/>
    </row>
    <row r="730" spans="1:1" ht="15" x14ac:dyDescent="0.25">
      <c r="A730" s="83"/>
    </row>
    <row r="731" spans="1:1" ht="15" x14ac:dyDescent="0.25">
      <c r="A731" s="83"/>
    </row>
    <row r="732" spans="1:1" ht="15" x14ac:dyDescent="0.25">
      <c r="A732" s="83"/>
    </row>
    <row r="733" spans="1:1" ht="15" x14ac:dyDescent="0.25">
      <c r="A733" s="83"/>
    </row>
    <row r="734" spans="1:1" ht="15" x14ac:dyDescent="0.25">
      <c r="A734" s="83"/>
    </row>
    <row r="735" spans="1:1" ht="15" x14ac:dyDescent="0.25">
      <c r="A735" s="83"/>
    </row>
    <row r="736" spans="1:1" ht="15" x14ac:dyDescent="0.25">
      <c r="A736" s="83"/>
    </row>
    <row r="737" spans="1:1" ht="15" x14ac:dyDescent="0.25">
      <c r="A737" s="83"/>
    </row>
    <row r="738" spans="1:1" ht="15" x14ac:dyDescent="0.25">
      <c r="A738" s="83"/>
    </row>
    <row r="739" spans="1:1" ht="15" x14ac:dyDescent="0.25">
      <c r="A739" s="83"/>
    </row>
    <row r="740" spans="1:1" ht="15" x14ac:dyDescent="0.25">
      <c r="A740" s="83"/>
    </row>
    <row r="741" spans="1:1" ht="15" x14ac:dyDescent="0.25">
      <c r="A741" s="83"/>
    </row>
    <row r="742" spans="1:1" ht="15" x14ac:dyDescent="0.25">
      <c r="A742" s="83"/>
    </row>
    <row r="743" spans="1:1" ht="15" x14ac:dyDescent="0.25">
      <c r="A743" s="83"/>
    </row>
    <row r="744" spans="1:1" ht="15" x14ac:dyDescent="0.25">
      <c r="A744" s="83"/>
    </row>
    <row r="745" spans="1:1" ht="15" x14ac:dyDescent="0.25">
      <c r="A745" s="83"/>
    </row>
    <row r="746" spans="1:1" ht="15" x14ac:dyDescent="0.25">
      <c r="A746" s="83"/>
    </row>
    <row r="747" spans="1:1" ht="15" x14ac:dyDescent="0.25">
      <c r="A747" s="83"/>
    </row>
    <row r="748" spans="1:1" ht="15" x14ac:dyDescent="0.25">
      <c r="A748" s="83"/>
    </row>
    <row r="749" spans="1:1" ht="15" x14ac:dyDescent="0.25">
      <c r="A749" s="83"/>
    </row>
    <row r="750" spans="1:1" ht="15" x14ac:dyDescent="0.25">
      <c r="A750" s="83"/>
    </row>
    <row r="751" spans="1:1" ht="15" x14ac:dyDescent="0.25">
      <c r="A751" s="83"/>
    </row>
    <row r="752" spans="1:1" ht="15" x14ac:dyDescent="0.25">
      <c r="A752" s="83"/>
    </row>
    <row r="753" spans="1:1" ht="15" x14ac:dyDescent="0.25">
      <c r="A753" s="83"/>
    </row>
    <row r="754" spans="1:1" ht="15" x14ac:dyDescent="0.25">
      <c r="A754" s="83"/>
    </row>
    <row r="755" spans="1:1" ht="15" x14ac:dyDescent="0.25">
      <c r="A755" s="83"/>
    </row>
    <row r="756" spans="1:1" ht="15" x14ac:dyDescent="0.25">
      <c r="A756" s="83"/>
    </row>
    <row r="757" spans="1:1" ht="15" x14ac:dyDescent="0.25">
      <c r="A757" s="83"/>
    </row>
    <row r="758" spans="1:1" ht="15" x14ac:dyDescent="0.25">
      <c r="A758" s="83"/>
    </row>
    <row r="759" spans="1:1" ht="15" x14ac:dyDescent="0.25">
      <c r="A759" s="83"/>
    </row>
    <row r="760" spans="1:1" ht="15" x14ac:dyDescent="0.25">
      <c r="A760" s="83"/>
    </row>
    <row r="761" spans="1:1" ht="15" x14ac:dyDescent="0.25">
      <c r="A761" s="83"/>
    </row>
    <row r="762" spans="1:1" ht="15" x14ac:dyDescent="0.25">
      <c r="A762" s="83"/>
    </row>
    <row r="763" spans="1:1" ht="15" x14ac:dyDescent="0.25">
      <c r="A763" s="83"/>
    </row>
    <row r="764" spans="1:1" ht="15" x14ac:dyDescent="0.25">
      <c r="A764" s="83"/>
    </row>
    <row r="765" spans="1:1" ht="15" x14ac:dyDescent="0.25">
      <c r="A765" s="83"/>
    </row>
    <row r="766" spans="1:1" ht="15" x14ac:dyDescent="0.25">
      <c r="A766" s="83"/>
    </row>
    <row r="767" spans="1:1" ht="15" x14ac:dyDescent="0.25">
      <c r="A767" s="83"/>
    </row>
    <row r="768" spans="1:1" ht="15" x14ac:dyDescent="0.25">
      <c r="A768" s="83"/>
    </row>
    <row r="769" spans="1:1" ht="15" x14ac:dyDescent="0.25">
      <c r="A769" s="83"/>
    </row>
    <row r="770" spans="1:1" ht="15" x14ac:dyDescent="0.25">
      <c r="A770" s="83"/>
    </row>
    <row r="771" spans="1:1" ht="15" x14ac:dyDescent="0.25">
      <c r="A771" s="83"/>
    </row>
    <row r="772" spans="1:1" ht="15" x14ac:dyDescent="0.25">
      <c r="A772" s="83"/>
    </row>
    <row r="773" spans="1:1" ht="15" x14ac:dyDescent="0.25">
      <c r="A773" s="83"/>
    </row>
    <row r="774" spans="1:1" ht="15" x14ac:dyDescent="0.25">
      <c r="A774" s="83"/>
    </row>
    <row r="775" spans="1:1" ht="15" x14ac:dyDescent="0.25">
      <c r="A775" s="83"/>
    </row>
    <row r="776" spans="1:1" ht="15" x14ac:dyDescent="0.25">
      <c r="A776" s="83"/>
    </row>
    <row r="777" spans="1:1" ht="15" x14ac:dyDescent="0.25">
      <c r="A777" s="83"/>
    </row>
    <row r="778" spans="1:1" ht="15" x14ac:dyDescent="0.25">
      <c r="A778" s="83"/>
    </row>
    <row r="779" spans="1:1" ht="15" x14ac:dyDescent="0.25">
      <c r="A779" s="83"/>
    </row>
    <row r="780" spans="1:1" ht="15" x14ac:dyDescent="0.25">
      <c r="A780" s="83"/>
    </row>
    <row r="781" spans="1:1" ht="15" x14ac:dyDescent="0.25">
      <c r="A781" s="83"/>
    </row>
    <row r="782" spans="1:1" ht="15" x14ac:dyDescent="0.25">
      <c r="A782" s="83"/>
    </row>
    <row r="783" spans="1:1" ht="15" x14ac:dyDescent="0.25">
      <c r="A783" s="83"/>
    </row>
    <row r="784" spans="1:1" ht="15" x14ac:dyDescent="0.25">
      <c r="A784" s="83"/>
    </row>
    <row r="785" spans="1:1" ht="15" x14ac:dyDescent="0.25">
      <c r="A785" s="83"/>
    </row>
    <row r="786" spans="1:1" ht="15" x14ac:dyDescent="0.25">
      <c r="A786" s="83"/>
    </row>
    <row r="787" spans="1:1" ht="15" x14ac:dyDescent="0.25">
      <c r="A787" s="83"/>
    </row>
    <row r="788" spans="1:1" ht="15" x14ac:dyDescent="0.25">
      <c r="A788" s="83"/>
    </row>
    <row r="789" spans="1:1" ht="15" x14ac:dyDescent="0.25">
      <c r="A789" s="83"/>
    </row>
    <row r="790" spans="1:1" ht="15" x14ac:dyDescent="0.25">
      <c r="A790" s="83"/>
    </row>
    <row r="791" spans="1:1" ht="15" x14ac:dyDescent="0.25">
      <c r="A791" s="83"/>
    </row>
    <row r="792" spans="1:1" ht="15" x14ac:dyDescent="0.25">
      <c r="A792" s="83"/>
    </row>
    <row r="793" spans="1:1" ht="15" x14ac:dyDescent="0.25">
      <c r="A793" s="83"/>
    </row>
    <row r="794" spans="1:1" ht="15" x14ac:dyDescent="0.25">
      <c r="A794" s="83"/>
    </row>
    <row r="795" spans="1:1" ht="15" x14ac:dyDescent="0.25">
      <c r="A795" s="83"/>
    </row>
    <row r="796" spans="1:1" ht="15" x14ac:dyDescent="0.25">
      <c r="A796" s="83"/>
    </row>
    <row r="797" spans="1:1" ht="15" x14ac:dyDescent="0.25">
      <c r="A797" s="83"/>
    </row>
    <row r="798" spans="1:1" ht="15" x14ac:dyDescent="0.25">
      <c r="A798" s="83"/>
    </row>
    <row r="799" spans="1:1" ht="15" x14ac:dyDescent="0.25">
      <c r="A799" s="83"/>
    </row>
    <row r="800" spans="1:1" ht="15" x14ac:dyDescent="0.25">
      <c r="A800" s="83"/>
    </row>
    <row r="801" spans="1:1" ht="15" x14ac:dyDescent="0.25">
      <c r="A801" s="83"/>
    </row>
    <row r="802" spans="1:1" ht="15" x14ac:dyDescent="0.25">
      <c r="A802" s="83"/>
    </row>
    <row r="803" spans="1:1" ht="15" x14ac:dyDescent="0.25">
      <c r="A803" s="83"/>
    </row>
    <row r="804" spans="1:1" ht="15" x14ac:dyDescent="0.25">
      <c r="A804" s="83"/>
    </row>
    <row r="805" spans="1:1" ht="15" x14ac:dyDescent="0.25">
      <c r="A805" s="83"/>
    </row>
    <row r="806" spans="1:1" ht="15" x14ac:dyDescent="0.25">
      <c r="A806" s="83"/>
    </row>
    <row r="807" spans="1:1" ht="15" x14ac:dyDescent="0.25">
      <c r="A807" s="83"/>
    </row>
    <row r="808" spans="1:1" ht="15" x14ac:dyDescent="0.25">
      <c r="A808" s="83"/>
    </row>
    <row r="809" spans="1:1" ht="15" x14ac:dyDescent="0.25">
      <c r="A809" s="83"/>
    </row>
    <row r="810" spans="1:1" ht="15" x14ac:dyDescent="0.25">
      <c r="A810" s="83"/>
    </row>
    <row r="811" spans="1:1" ht="15" x14ac:dyDescent="0.25">
      <c r="A811" s="83"/>
    </row>
    <row r="812" spans="1:1" ht="15" x14ac:dyDescent="0.25">
      <c r="A812" s="83"/>
    </row>
    <row r="813" spans="1:1" ht="15" x14ac:dyDescent="0.25">
      <c r="A813" s="83"/>
    </row>
    <row r="814" spans="1:1" ht="15" x14ac:dyDescent="0.25">
      <c r="A814" s="83"/>
    </row>
    <row r="815" spans="1:1" ht="15" x14ac:dyDescent="0.25">
      <c r="A815" s="83"/>
    </row>
    <row r="816" spans="1:1" ht="15" x14ac:dyDescent="0.25">
      <c r="A816" s="83"/>
    </row>
    <row r="817" spans="1:1" ht="15" x14ac:dyDescent="0.25">
      <c r="A817" s="83"/>
    </row>
    <row r="818" spans="1:1" ht="15" x14ac:dyDescent="0.25">
      <c r="A818" s="83"/>
    </row>
    <row r="819" spans="1:1" ht="15" x14ac:dyDescent="0.25">
      <c r="A819" s="83"/>
    </row>
    <row r="820" spans="1:1" ht="15" x14ac:dyDescent="0.25">
      <c r="A820" s="83"/>
    </row>
    <row r="821" spans="1:1" ht="15" x14ac:dyDescent="0.25">
      <c r="A821" s="83"/>
    </row>
    <row r="822" spans="1:1" ht="15" x14ac:dyDescent="0.25">
      <c r="A822" s="83"/>
    </row>
    <row r="823" spans="1:1" ht="15" x14ac:dyDescent="0.25">
      <c r="A823" s="83"/>
    </row>
    <row r="824" spans="1:1" ht="15" x14ac:dyDescent="0.25">
      <c r="A824" s="83"/>
    </row>
    <row r="825" spans="1:1" ht="15" x14ac:dyDescent="0.25">
      <c r="A825" s="83"/>
    </row>
    <row r="826" spans="1:1" ht="15" x14ac:dyDescent="0.25">
      <c r="A826" s="83"/>
    </row>
    <row r="827" spans="1:1" ht="15" x14ac:dyDescent="0.25">
      <c r="A827" s="83"/>
    </row>
    <row r="828" spans="1:1" ht="15" x14ac:dyDescent="0.25">
      <c r="A828" s="83"/>
    </row>
    <row r="829" spans="1:1" ht="15" x14ac:dyDescent="0.25">
      <c r="A829" s="83"/>
    </row>
    <row r="830" spans="1:1" ht="15" x14ac:dyDescent="0.25">
      <c r="A830" s="83"/>
    </row>
    <row r="831" spans="1:1" ht="15" x14ac:dyDescent="0.25">
      <c r="A831" s="83"/>
    </row>
    <row r="832" spans="1:1" ht="15" x14ac:dyDescent="0.25">
      <c r="A832" s="83"/>
    </row>
    <row r="833" spans="1:1" ht="15" x14ac:dyDescent="0.25">
      <c r="A833" s="83"/>
    </row>
    <row r="834" spans="1:1" ht="15" x14ac:dyDescent="0.25">
      <c r="A834" s="83"/>
    </row>
    <row r="835" spans="1:1" ht="15" x14ac:dyDescent="0.25">
      <c r="A835" s="83"/>
    </row>
    <row r="836" spans="1:1" ht="15" x14ac:dyDescent="0.25">
      <c r="A836" s="83"/>
    </row>
    <row r="837" spans="1:1" ht="15" x14ac:dyDescent="0.25">
      <c r="A837" s="83"/>
    </row>
    <row r="838" spans="1:1" ht="15" x14ac:dyDescent="0.25">
      <c r="A838" s="83"/>
    </row>
    <row r="839" spans="1:1" ht="15" x14ac:dyDescent="0.25">
      <c r="A839" s="83"/>
    </row>
    <row r="840" spans="1:1" ht="15" x14ac:dyDescent="0.25">
      <c r="A840" s="83"/>
    </row>
    <row r="841" spans="1:1" ht="15" x14ac:dyDescent="0.25">
      <c r="A841" s="83"/>
    </row>
    <row r="842" spans="1:1" ht="15" x14ac:dyDescent="0.25">
      <c r="A842" s="83"/>
    </row>
    <row r="843" spans="1:1" ht="15" x14ac:dyDescent="0.25">
      <c r="A843" s="83"/>
    </row>
    <row r="844" spans="1:1" ht="15" x14ac:dyDescent="0.25">
      <c r="A844" s="83"/>
    </row>
    <row r="845" spans="1:1" ht="15" x14ac:dyDescent="0.25">
      <c r="A845" s="83"/>
    </row>
    <row r="846" spans="1:1" ht="15" x14ac:dyDescent="0.25">
      <c r="A846" s="83"/>
    </row>
    <row r="847" spans="1:1" ht="15" x14ac:dyDescent="0.25">
      <c r="A847" s="83"/>
    </row>
    <row r="848" spans="1:1" ht="15" x14ac:dyDescent="0.25">
      <c r="A848" s="83"/>
    </row>
    <row r="849" spans="1:1" ht="15" x14ac:dyDescent="0.25">
      <c r="A849" s="83"/>
    </row>
    <row r="850" spans="1:1" ht="15" x14ac:dyDescent="0.25">
      <c r="A850" s="83"/>
    </row>
    <row r="851" spans="1:1" ht="15" x14ac:dyDescent="0.25">
      <c r="A851" s="83"/>
    </row>
    <row r="852" spans="1:1" ht="15" x14ac:dyDescent="0.25">
      <c r="A852" s="83"/>
    </row>
    <row r="853" spans="1:1" ht="15" x14ac:dyDescent="0.25">
      <c r="A853" s="83"/>
    </row>
    <row r="854" spans="1:1" ht="15" x14ac:dyDescent="0.25">
      <c r="A854" s="83"/>
    </row>
    <row r="855" spans="1:1" ht="15" x14ac:dyDescent="0.25">
      <c r="A855" s="83"/>
    </row>
    <row r="856" spans="1:1" ht="15" x14ac:dyDescent="0.25">
      <c r="A856" s="83"/>
    </row>
    <row r="857" spans="1:1" ht="15" x14ac:dyDescent="0.25">
      <c r="A857" s="83"/>
    </row>
    <row r="858" spans="1:1" ht="15" x14ac:dyDescent="0.25">
      <c r="A858" s="83"/>
    </row>
    <row r="859" spans="1:1" ht="15" x14ac:dyDescent="0.25">
      <c r="A859" s="83"/>
    </row>
    <row r="860" spans="1:1" ht="15" x14ac:dyDescent="0.25">
      <c r="A860" s="83"/>
    </row>
    <row r="861" spans="1:1" ht="15" x14ac:dyDescent="0.25">
      <c r="A861" s="83"/>
    </row>
    <row r="862" spans="1:1" ht="15" x14ac:dyDescent="0.25">
      <c r="A862" s="83"/>
    </row>
    <row r="863" spans="1:1" ht="15" x14ac:dyDescent="0.25">
      <c r="A863" s="83"/>
    </row>
    <row r="864" spans="1:1" ht="15" x14ac:dyDescent="0.25">
      <c r="A864" s="83"/>
    </row>
    <row r="865" spans="1:1" ht="15" x14ac:dyDescent="0.25">
      <c r="A865" s="83"/>
    </row>
    <row r="866" spans="1:1" ht="15" x14ac:dyDescent="0.25">
      <c r="A866" s="83"/>
    </row>
    <row r="867" spans="1:1" ht="15" x14ac:dyDescent="0.25">
      <c r="A867" s="83"/>
    </row>
    <row r="868" spans="1:1" ht="15" x14ac:dyDescent="0.25">
      <c r="A868" s="83"/>
    </row>
    <row r="869" spans="1:1" ht="15" x14ac:dyDescent="0.25">
      <c r="A869" s="83"/>
    </row>
    <row r="870" spans="1:1" ht="15" x14ac:dyDescent="0.25">
      <c r="A870" s="83"/>
    </row>
    <row r="871" spans="1:1" ht="15" x14ac:dyDescent="0.25">
      <c r="A871" s="83"/>
    </row>
    <row r="872" spans="1:1" ht="15" x14ac:dyDescent="0.25">
      <c r="A872" s="83"/>
    </row>
    <row r="873" spans="1:1" ht="15" x14ac:dyDescent="0.25">
      <c r="A873" s="83"/>
    </row>
    <row r="874" spans="1:1" ht="15" x14ac:dyDescent="0.25">
      <c r="A874" s="83"/>
    </row>
    <row r="875" spans="1:1" ht="15" x14ac:dyDescent="0.25">
      <c r="A875" s="83"/>
    </row>
    <row r="876" spans="1:1" ht="15" x14ac:dyDescent="0.25">
      <c r="A876" s="83"/>
    </row>
    <row r="877" spans="1:1" ht="15" x14ac:dyDescent="0.25">
      <c r="A877" s="83"/>
    </row>
    <row r="878" spans="1:1" ht="15" x14ac:dyDescent="0.25">
      <c r="A878" s="83"/>
    </row>
    <row r="879" spans="1:1" ht="15" x14ac:dyDescent="0.25">
      <c r="A879" s="83"/>
    </row>
    <row r="880" spans="1:1" ht="15" x14ac:dyDescent="0.25">
      <c r="A880" s="83"/>
    </row>
    <row r="881" spans="1:1" ht="15" x14ac:dyDescent="0.25">
      <c r="A881" s="83"/>
    </row>
    <row r="882" spans="1:1" ht="15" x14ac:dyDescent="0.25">
      <c r="A882" s="83"/>
    </row>
    <row r="883" spans="1:1" ht="15" x14ac:dyDescent="0.25">
      <c r="A883" s="83"/>
    </row>
    <row r="884" spans="1:1" ht="15" x14ac:dyDescent="0.25">
      <c r="A884" s="83"/>
    </row>
    <row r="885" spans="1:1" ht="15" x14ac:dyDescent="0.25">
      <c r="A885" s="83"/>
    </row>
    <row r="886" spans="1:1" ht="15" x14ac:dyDescent="0.25">
      <c r="A886" s="83"/>
    </row>
    <row r="887" spans="1:1" ht="15" x14ac:dyDescent="0.25">
      <c r="A887" s="83"/>
    </row>
    <row r="888" spans="1:1" ht="15" x14ac:dyDescent="0.25">
      <c r="A888" s="83"/>
    </row>
    <row r="889" spans="1:1" ht="15" x14ac:dyDescent="0.25">
      <c r="A889" s="83"/>
    </row>
    <row r="890" spans="1:1" ht="15" x14ac:dyDescent="0.25">
      <c r="A890" s="83"/>
    </row>
    <row r="891" spans="1:1" ht="15" x14ac:dyDescent="0.25">
      <c r="A891" s="83"/>
    </row>
    <row r="892" spans="1:1" ht="15" x14ac:dyDescent="0.25">
      <c r="A892" s="83"/>
    </row>
    <row r="893" spans="1:1" ht="15" x14ac:dyDescent="0.25">
      <c r="A893" s="83"/>
    </row>
    <row r="894" spans="1:1" ht="15" x14ac:dyDescent="0.25">
      <c r="A894" s="83"/>
    </row>
    <row r="895" spans="1:1" ht="15" x14ac:dyDescent="0.25">
      <c r="A895" s="83"/>
    </row>
    <row r="896" spans="1:1" ht="15" x14ac:dyDescent="0.25">
      <c r="A896" s="83"/>
    </row>
    <row r="897" spans="1:1" ht="15" x14ac:dyDescent="0.25">
      <c r="A897" s="83"/>
    </row>
    <row r="898" spans="1:1" ht="15" x14ac:dyDescent="0.25">
      <c r="A898" s="83"/>
    </row>
    <row r="899" spans="1:1" ht="15" x14ac:dyDescent="0.25">
      <c r="A899" s="83"/>
    </row>
    <row r="900" spans="1:1" ht="15" x14ac:dyDescent="0.25">
      <c r="A900" s="83"/>
    </row>
    <row r="901" spans="1:1" ht="15" x14ac:dyDescent="0.25">
      <c r="A901" s="83"/>
    </row>
    <row r="902" spans="1:1" ht="15" x14ac:dyDescent="0.25">
      <c r="A902" s="83"/>
    </row>
    <row r="903" spans="1:1" ht="15" x14ac:dyDescent="0.25">
      <c r="A903" s="83"/>
    </row>
    <row r="904" spans="1:1" ht="15" x14ac:dyDescent="0.25">
      <c r="A904" s="83"/>
    </row>
    <row r="905" spans="1:1" ht="15" x14ac:dyDescent="0.25">
      <c r="A905" s="83"/>
    </row>
    <row r="906" spans="1:1" ht="15" x14ac:dyDescent="0.25">
      <c r="A906" s="83"/>
    </row>
    <row r="907" spans="1:1" ht="15" x14ac:dyDescent="0.25">
      <c r="A907" s="83"/>
    </row>
    <row r="908" spans="1:1" ht="15" x14ac:dyDescent="0.25">
      <c r="A908" s="83"/>
    </row>
    <row r="909" spans="1:1" ht="15" x14ac:dyDescent="0.25">
      <c r="A909" s="83"/>
    </row>
    <row r="910" spans="1:1" ht="15" x14ac:dyDescent="0.25">
      <c r="A910" s="83"/>
    </row>
    <row r="911" spans="1:1" ht="15" x14ac:dyDescent="0.25">
      <c r="A911" s="83"/>
    </row>
    <row r="912" spans="1:1" ht="15" x14ac:dyDescent="0.25">
      <c r="A912" s="83"/>
    </row>
    <row r="913" spans="1:1" ht="15" x14ac:dyDescent="0.25">
      <c r="A913" s="83"/>
    </row>
    <row r="914" spans="1:1" ht="15" x14ac:dyDescent="0.25">
      <c r="A914" s="83"/>
    </row>
    <row r="915" spans="1:1" ht="15" x14ac:dyDescent="0.25">
      <c r="A915" s="83"/>
    </row>
    <row r="916" spans="1:1" ht="15" x14ac:dyDescent="0.25">
      <c r="A916" s="83"/>
    </row>
    <row r="917" spans="1:1" ht="15" x14ac:dyDescent="0.25">
      <c r="A917" s="83"/>
    </row>
    <row r="918" spans="1:1" ht="15" x14ac:dyDescent="0.25">
      <c r="A918" s="83"/>
    </row>
    <row r="919" spans="1:1" ht="15" x14ac:dyDescent="0.25">
      <c r="A919" s="83"/>
    </row>
    <row r="920" spans="1:1" ht="15" x14ac:dyDescent="0.25">
      <c r="A920" s="83"/>
    </row>
    <row r="921" spans="1:1" ht="15" x14ac:dyDescent="0.25">
      <c r="A921" s="83"/>
    </row>
    <row r="922" spans="1:1" ht="15" x14ac:dyDescent="0.25">
      <c r="A922" s="83"/>
    </row>
    <row r="923" spans="1:1" ht="15" x14ac:dyDescent="0.25">
      <c r="A923" s="83"/>
    </row>
    <row r="924" spans="1:1" ht="15" x14ac:dyDescent="0.25">
      <c r="A924" s="83"/>
    </row>
    <row r="925" spans="1:1" ht="15" x14ac:dyDescent="0.25">
      <c r="A925" s="83"/>
    </row>
    <row r="926" spans="1:1" ht="15" x14ac:dyDescent="0.25">
      <c r="A926" s="83"/>
    </row>
    <row r="927" spans="1:1" ht="15" x14ac:dyDescent="0.25">
      <c r="A927" s="83"/>
    </row>
    <row r="928" spans="1:1" ht="15" x14ac:dyDescent="0.25">
      <c r="A928" s="83"/>
    </row>
    <row r="929" spans="1:1" ht="15" x14ac:dyDescent="0.25">
      <c r="A929" s="83"/>
    </row>
    <row r="930" spans="1:1" ht="15" x14ac:dyDescent="0.25">
      <c r="A930" s="83"/>
    </row>
    <row r="931" spans="1:1" ht="15" x14ac:dyDescent="0.25">
      <c r="A931" s="83"/>
    </row>
    <row r="932" spans="1:1" ht="15" x14ac:dyDescent="0.25">
      <c r="A932" s="83"/>
    </row>
    <row r="933" spans="1:1" ht="15" x14ac:dyDescent="0.25">
      <c r="A933" s="83"/>
    </row>
    <row r="934" spans="1:1" ht="15" x14ac:dyDescent="0.25">
      <c r="A934" s="83"/>
    </row>
    <row r="935" spans="1:1" ht="15" x14ac:dyDescent="0.25">
      <c r="A935" s="83"/>
    </row>
    <row r="936" spans="1:1" ht="15" x14ac:dyDescent="0.25">
      <c r="A936" s="83"/>
    </row>
    <row r="937" spans="1:1" ht="15" x14ac:dyDescent="0.25">
      <c r="A937" s="83"/>
    </row>
    <row r="938" spans="1:1" ht="15" x14ac:dyDescent="0.25">
      <c r="A938" s="83"/>
    </row>
    <row r="939" spans="1:1" ht="15" x14ac:dyDescent="0.25">
      <c r="A939" s="83"/>
    </row>
    <row r="940" spans="1:1" ht="15" x14ac:dyDescent="0.25">
      <c r="A940" s="83"/>
    </row>
    <row r="941" spans="1:1" ht="15" x14ac:dyDescent="0.25">
      <c r="A941" s="83"/>
    </row>
    <row r="942" spans="1:1" ht="15" x14ac:dyDescent="0.25">
      <c r="A942" s="83"/>
    </row>
    <row r="943" spans="1:1" ht="15" x14ac:dyDescent="0.25">
      <c r="A943" s="83"/>
    </row>
    <row r="944" spans="1:1" ht="15" x14ac:dyDescent="0.25">
      <c r="A944" s="83"/>
    </row>
    <row r="945" spans="1:1" ht="15" x14ac:dyDescent="0.25">
      <c r="A945" s="83"/>
    </row>
    <row r="946" spans="1:1" ht="15" x14ac:dyDescent="0.25">
      <c r="A946" s="83"/>
    </row>
    <row r="947" spans="1:1" ht="15" x14ac:dyDescent="0.25">
      <c r="A947" s="83"/>
    </row>
    <row r="948" spans="1:1" ht="15" x14ac:dyDescent="0.25">
      <c r="A948" s="83"/>
    </row>
    <row r="949" spans="1:1" ht="15" x14ac:dyDescent="0.25">
      <c r="A949" s="83"/>
    </row>
    <row r="950" spans="1:1" ht="15" x14ac:dyDescent="0.25">
      <c r="A950" s="83"/>
    </row>
    <row r="951" spans="1:1" ht="15" x14ac:dyDescent="0.25">
      <c r="A951" s="83"/>
    </row>
    <row r="952" spans="1:1" ht="15" x14ac:dyDescent="0.25">
      <c r="A952" s="83"/>
    </row>
    <row r="953" spans="1:1" ht="15" x14ac:dyDescent="0.25">
      <c r="A953" s="83"/>
    </row>
    <row r="954" spans="1:1" ht="15" x14ac:dyDescent="0.25">
      <c r="A954" s="83"/>
    </row>
    <row r="955" spans="1:1" ht="15" x14ac:dyDescent="0.25">
      <c r="A955" s="83"/>
    </row>
    <row r="956" spans="1:1" ht="15" x14ac:dyDescent="0.25">
      <c r="A956" s="83"/>
    </row>
    <row r="957" spans="1:1" ht="15" x14ac:dyDescent="0.25">
      <c r="A957" s="83"/>
    </row>
    <row r="958" spans="1:1" ht="15" x14ac:dyDescent="0.25">
      <c r="A958" s="83"/>
    </row>
    <row r="959" spans="1:1" ht="15" x14ac:dyDescent="0.25">
      <c r="A959" s="83"/>
    </row>
    <row r="960" spans="1:1" ht="15" x14ac:dyDescent="0.25">
      <c r="A960" s="83"/>
    </row>
    <row r="961" spans="1:1" ht="15" x14ac:dyDescent="0.25">
      <c r="A961" s="83"/>
    </row>
    <row r="962" spans="1:1" ht="15" x14ac:dyDescent="0.25">
      <c r="A962" s="83"/>
    </row>
    <row r="963" spans="1:1" ht="15" x14ac:dyDescent="0.25">
      <c r="A963" s="83"/>
    </row>
    <row r="964" spans="1:1" ht="15" x14ac:dyDescent="0.25">
      <c r="A964" s="83"/>
    </row>
    <row r="965" spans="1:1" ht="15" x14ac:dyDescent="0.25">
      <c r="A965" s="83"/>
    </row>
    <row r="966" spans="1:1" ht="15" x14ac:dyDescent="0.25">
      <c r="A966" s="83"/>
    </row>
    <row r="967" spans="1:1" ht="15" x14ac:dyDescent="0.25">
      <c r="A967" s="83"/>
    </row>
    <row r="968" spans="1:1" ht="15" x14ac:dyDescent="0.25">
      <c r="A968" s="83"/>
    </row>
    <row r="969" spans="1:1" ht="15" x14ac:dyDescent="0.25">
      <c r="A969" s="83"/>
    </row>
    <row r="970" spans="1:1" ht="15" x14ac:dyDescent="0.25">
      <c r="A970" s="83"/>
    </row>
    <row r="971" spans="1:1" ht="15" x14ac:dyDescent="0.25">
      <c r="A971" s="83"/>
    </row>
    <row r="972" spans="1:1" ht="15" x14ac:dyDescent="0.25">
      <c r="A972" s="83"/>
    </row>
    <row r="973" spans="1:1" ht="15" x14ac:dyDescent="0.25">
      <c r="A973" s="83"/>
    </row>
    <row r="974" spans="1:1" ht="15" x14ac:dyDescent="0.25">
      <c r="A974" s="83"/>
    </row>
    <row r="975" spans="1:1" ht="15" x14ac:dyDescent="0.25">
      <c r="A975" s="83"/>
    </row>
    <row r="976" spans="1:1" ht="15" x14ac:dyDescent="0.25">
      <c r="A976" s="83"/>
    </row>
    <row r="977" spans="1:1" ht="15" x14ac:dyDescent="0.25">
      <c r="A977" s="83"/>
    </row>
    <row r="978" spans="1:1" ht="15" x14ac:dyDescent="0.25">
      <c r="A978" s="83"/>
    </row>
    <row r="979" spans="1:1" ht="15" x14ac:dyDescent="0.25">
      <c r="A979" s="83"/>
    </row>
    <row r="980" spans="1:1" ht="15" x14ac:dyDescent="0.25">
      <c r="A980" s="83"/>
    </row>
    <row r="981" spans="1:1" ht="15" x14ac:dyDescent="0.25">
      <c r="A981" s="83"/>
    </row>
    <row r="982" spans="1:1" ht="15" x14ac:dyDescent="0.25">
      <c r="A982" s="83"/>
    </row>
    <row r="983" spans="1:1" ht="15" x14ac:dyDescent="0.25">
      <c r="A983" s="83"/>
    </row>
    <row r="984" spans="1:1" ht="15" x14ac:dyDescent="0.25">
      <c r="A984" s="83"/>
    </row>
    <row r="985" spans="1:1" ht="15" x14ac:dyDescent="0.25">
      <c r="A985" s="83"/>
    </row>
    <row r="986" spans="1:1" ht="15" x14ac:dyDescent="0.25">
      <c r="A986" s="83"/>
    </row>
    <row r="987" spans="1:1" ht="15" x14ac:dyDescent="0.25">
      <c r="A987" s="83"/>
    </row>
    <row r="988" spans="1:1" ht="15" x14ac:dyDescent="0.25">
      <c r="A988" s="83"/>
    </row>
    <row r="989" spans="1:1" ht="15" x14ac:dyDescent="0.25">
      <c r="A989" s="83"/>
    </row>
    <row r="990" spans="1:1" ht="15" x14ac:dyDescent="0.25">
      <c r="A990" s="83"/>
    </row>
    <row r="991" spans="1:1" ht="15" x14ac:dyDescent="0.25">
      <c r="A991" s="83"/>
    </row>
    <row r="992" spans="1:1" ht="15" x14ac:dyDescent="0.25">
      <c r="A992" s="83"/>
    </row>
    <row r="993" spans="1:1" ht="15" x14ac:dyDescent="0.25">
      <c r="A993" s="83"/>
    </row>
    <row r="994" spans="1:1" ht="15" x14ac:dyDescent="0.25">
      <c r="A994" s="83"/>
    </row>
    <row r="995" spans="1:1" ht="15" x14ac:dyDescent="0.25">
      <c r="A995" s="83"/>
    </row>
    <row r="996" spans="1:1" ht="15" x14ac:dyDescent="0.25">
      <c r="A996" s="83"/>
    </row>
    <row r="997" spans="1:1" ht="15" x14ac:dyDescent="0.25">
      <c r="A997" s="83"/>
    </row>
    <row r="998" spans="1:1" ht="15" x14ac:dyDescent="0.25">
      <c r="A998" s="83"/>
    </row>
    <row r="999" spans="1:1" ht="15" x14ac:dyDescent="0.25">
      <c r="A999" s="83"/>
    </row>
    <row r="1000" spans="1:1" ht="15" x14ac:dyDescent="0.25">
      <c r="A1000" s="83"/>
    </row>
    <row r="1001" spans="1:1" ht="15" x14ac:dyDescent="0.25">
      <c r="A1001" s="83"/>
    </row>
    <row r="1002" spans="1:1" ht="15" x14ac:dyDescent="0.25">
      <c r="A1002" s="83"/>
    </row>
    <row r="1003" spans="1:1" ht="15" x14ac:dyDescent="0.25">
      <c r="A1003" s="83"/>
    </row>
    <row r="1004" spans="1:1" ht="15" x14ac:dyDescent="0.25">
      <c r="A1004" s="83"/>
    </row>
    <row r="1005" spans="1:1" ht="15" x14ac:dyDescent="0.25">
      <c r="A1005" s="83"/>
    </row>
    <row r="1006" spans="1:1" ht="15" x14ac:dyDescent="0.25">
      <c r="A1006" s="83"/>
    </row>
    <row r="1007" spans="1:1" ht="15" x14ac:dyDescent="0.25">
      <c r="A1007" s="83"/>
    </row>
    <row r="1008" spans="1:1" ht="15" x14ac:dyDescent="0.25">
      <c r="A1008" s="83"/>
    </row>
    <row r="1009" spans="1:1" ht="15" x14ac:dyDescent="0.25">
      <c r="A1009" s="83"/>
    </row>
    <row r="1010" spans="1:1" ht="15" x14ac:dyDescent="0.25">
      <c r="A1010" s="83"/>
    </row>
    <row r="1011" spans="1:1" ht="15" x14ac:dyDescent="0.25">
      <c r="A1011" s="83"/>
    </row>
    <row r="1012" spans="1:1" ht="15" x14ac:dyDescent="0.25">
      <c r="A1012" s="83"/>
    </row>
    <row r="1013" spans="1:1" ht="15" x14ac:dyDescent="0.25">
      <c r="A1013" s="83"/>
    </row>
    <row r="1014" spans="1:1" ht="15" x14ac:dyDescent="0.25">
      <c r="A1014" s="83"/>
    </row>
    <row r="1015" spans="1:1" ht="15" x14ac:dyDescent="0.25">
      <c r="A1015" s="83"/>
    </row>
    <row r="1016" spans="1:1" ht="15" x14ac:dyDescent="0.25">
      <c r="A1016" s="83"/>
    </row>
    <row r="1017" spans="1:1" ht="15" x14ac:dyDescent="0.25">
      <c r="A1017" s="83"/>
    </row>
    <row r="1018" spans="1:1" ht="15" x14ac:dyDescent="0.25">
      <c r="A1018" s="83"/>
    </row>
    <row r="1019" spans="1:1" ht="15" x14ac:dyDescent="0.25">
      <c r="A1019" s="83"/>
    </row>
    <row r="1020" spans="1:1" ht="15" x14ac:dyDescent="0.25">
      <c r="A1020" s="83"/>
    </row>
    <row r="1021" spans="1:1" ht="15" x14ac:dyDescent="0.25">
      <c r="A1021" s="83"/>
    </row>
    <row r="1022" spans="1:1" ht="15" x14ac:dyDescent="0.25">
      <c r="A1022" s="83"/>
    </row>
    <row r="1023" spans="1:1" ht="15" x14ac:dyDescent="0.25">
      <c r="A1023" s="83"/>
    </row>
    <row r="1024" spans="1:1" ht="15" x14ac:dyDescent="0.25">
      <c r="A1024" s="83"/>
    </row>
    <row r="1025" spans="1:1" ht="15" x14ac:dyDescent="0.25">
      <c r="A1025" s="83"/>
    </row>
    <row r="1026" spans="1:1" ht="15" x14ac:dyDescent="0.25">
      <c r="A1026" s="83"/>
    </row>
    <row r="1027" spans="1:1" ht="15" x14ac:dyDescent="0.25">
      <c r="A1027" s="83"/>
    </row>
    <row r="1028" spans="1:1" ht="15" x14ac:dyDescent="0.25">
      <c r="A1028" s="83"/>
    </row>
    <row r="1029" spans="1:1" ht="15" x14ac:dyDescent="0.25">
      <c r="A1029" s="83"/>
    </row>
    <row r="1030" spans="1:1" ht="15" x14ac:dyDescent="0.25">
      <c r="A1030" s="83"/>
    </row>
    <row r="1031" spans="1:1" ht="15" x14ac:dyDescent="0.25">
      <c r="A1031" s="83"/>
    </row>
    <row r="1032" spans="1:1" ht="15" x14ac:dyDescent="0.25">
      <c r="A1032" s="83"/>
    </row>
    <row r="1033" spans="1:1" ht="15" x14ac:dyDescent="0.25">
      <c r="A1033" s="83"/>
    </row>
    <row r="1034" spans="1:1" ht="15" x14ac:dyDescent="0.25">
      <c r="A1034" s="83"/>
    </row>
    <row r="1035" spans="1:1" ht="15" x14ac:dyDescent="0.25">
      <c r="A1035" s="83"/>
    </row>
    <row r="1036" spans="1:1" ht="15" x14ac:dyDescent="0.25">
      <c r="A1036" s="83"/>
    </row>
    <row r="1037" spans="1:1" ht="15" x14ac:dyDescent="0.25">
      <c r="A1037" s="83"/>
    </row>
    <row r="1038" spans="1:1" ht="15" x14ac:dyDescent="0.25">
      <c r="A1038" s="83"/>
    </row>
    <row r="1039" spans="1:1" ht="15" x14ac:dyDescent="0.25">
      <c r="A1039" s="83"/>
    </row>
    <row r="1040" spans="1:1" ht="15" x14ac:dyDescent="0.25">
      <c r="A1040" s="83"/>
    </row>
    <row r="1041" spans="1:1" ht="15" x14ac:dyDescent="0.25">
      <c r="A1041" s="83"/>
    </row>
    <row r="1042" spans="1:1" ht="15" x14ac:dyDescent="0.25">
      <c r="A1042" s="83"/>
    </row>
    <row r="1043" spans="1:1" ht="15" x14ac:dyDescent="0.25">
      <c r="A1043" s="83"/>
    </row>
    <row r="1044" spans="1:1" ht="15" x14ac:dyDescent="0.25">
      <c r="A1044" s="83"/>
    </row>
    <row r="1045" spans="1:1" ht="15" x14ac:dyDescent="0.25">
      <c r="A1045" s="83"/>
    </row>
    <row r="1046" spans="1:1" ht="15" x14ac:dyDescent="0.25">
      <c r="A1046" s="83"/>
    </row>
    <row r="1047" spans="1:1" ht="15" x14ac:dyDescent="0.25">
      <c r="A1047" s="83"/>
    </row>
    <row r="1048" spans="1:1" ht="15" x14ac:dyDescent="0.25">
      <c r="A1048" s="83"/>
    </row>
    <row r="1049" spans="1:1" ht="15" x14ac:dyDescent="0.25">
      <c r="A1049" s="83"/>
    </row>
    <row r="1050" spans="1:1" ht="15" x14ac:dyDescent="0.25">
      <c r="A1050" s="83"/>
    </row>
    <row r="1051" spans="1:1" ht="15" x14ac:dyDescent="0.25">
      <c r="A1051" s="83"/>
    </row>
    <row r="1052" spans="1:1" ht="15" x14ac:dyDescent="0.25">
      <c r="A1052" s="83"/>
    </row>
    <row r="1053" spans="1:1" ht="15" x14ac:dyDescent="0.25">
      <c r="A1053" s="83"/>
    </row>
    <row r="1054" spans="1:1" ht="15" x14ac:dyDescent="0.25">
      <c r="A1054" s="83"/>
    </row>
    <row r="1055" spans="1:1" ht="15" x14ac:dyDescent="0.25">
      <c r="A1055" s="83"/>
    </row>
    <row r="1056" spans="1:1" ht="15" x14ac:dyDescent="0.25">
      <c r="A1056" s="83"/>
    </row>
    <row r="1057" spans="1:1" ht="15" x14ac:dyDescent="0.25">
      <c r="A1057" s="83"/>
    </row>
    <row r="1058" spans="1:1" ht="15" x14ac:dyDescent="0.25">
      <c r="A1058" s="83"/>
    </row>
    <row r="1059" spans="1:1" ht="15" x14ac:dyDescent="0.25">
      <c r="A1059" s="83"/>
    </row>
    <row r="1060" spans="1:1" ht="15" x14ac:dyDescent="0.25">
      <c r="A1060" s="83"/>
    </row>
    <row r="1061" spans="1:1" ht="15" x14ac:dyDescent="0.25">
      <c r="A1061" s="83"/>
    </row>
    <row r="1062" spans="1:1" ht="15" x14ac:dyDescent="0.25">
      <c r="A1062" s="83"/>
    </row>
    <row r="1063" spans="1:1" ht="15" x14ac:dyDescent="0.25">
      <c r="A1063" s="83"/>
    </row>
    <row r="1064" spans="1:1" ht="15" x14ac:dyDescent="0.25">
      <c r="A1064" s="83"/>
    </row>
    <row r="1065" spans="1:1" ht="15" x14ac:dyDescent="0.25">
      <c r="A1065" s="83"/>
    </row>
    <row r="1066" spans="1:1" ht="15" x14ac:dyDescent="0.25">
      <c r="A1066" s="83"/>
    </row>
    <row r="1067" spans="1:1" ht="15" x14ac:dyDescent="0.25">
      <c r="A1067" s="83"/>
    </row>
    <row r="1068" spans="1:1" ht="15" x14ac:dyDescent="0.25">
      <c r="A1068" s="83"/>
    </row>
    <row r="1069" spans="1:1" ht="15" x14ac:dyDescent="0.25">
      <c r="A1069" s="83"/>
    </row>
    <row r="1070" spans="1:1" ht="15" x14ac:dyDescent="0.25">
      <c r="A1070" s="83"/>
    </row>
    <row r="1071" spans="1:1" ht="15" x14ac:dyDescent="0.25">
      <c r="A1071" s="83"/>
    </row>
    <row r="1072" spans="1:1" ht="15" x14ac:dyDescent="0.25">
      <c r="A1072" s="83"/>
    </row>
    <row r="1073" spans="1:1" ht="15" x14ac:dyDescent="0.25">
      <c r="A1073" s="83"/>
    </row>
    <row r="1074" spans="1:1" ht="15" x14ac:dyDescent="0.25">
      <c r="A1074" s="83"/>
    </row>
    <row r="1075" spans="1:1" ht="15" x14ac:dyDescent="0.25">
      <c r="A1075" s="83"/>
    </row>
    <row r="1076" spans="1:1" ht="15" x14ac:dyDescent="0.25">
      <c r="A1076" s="83"/>
    </row>
    <row r="1077" spans="1:1" ht="15" x14ac:dyDescent="0.25">
      <c r="A1077" s="83"/>
    </row>
    <row r="1078" spans="1:1" ht="15" x14ac:dyDescent="0.25">
      <c r="A1078" s="83"/>
    </row>
    <row r="1079" spans="1:1" ht="15" x14ac:dyDescent="0.25">
      <c r="A1079" s="83"/>
    </row>
    <row r="1080" spans="1:1" ht="15" x14ac:dyDescent="0.25">
      <c r="A1080" s="83"/>
    </row>
    <row r="1081" spans="1:1" ht="15" x14ac:dyDescent="0.25">
      <c r="A1081" s="83"/>
    </row>
    <row r="1082" spans="1:1" ht="15" x14ac:dyDescent="0.25">
      <c r="A1082" s="83"/>
    </row>
    <row r="1083" spans="1:1" ht="15" x14ac:dyDescent="0.25">
      <c r="A1083" s="83"/>
    </row>
    <row r="1084" spans="1:1" ht="15" x14ac:dyDescent="0.25">
      <c r="A1084" s="83"/>
    </row>
    <row r="1085" spans="1:1" ht="15" x14ac:dyDescent="0.25">
      <c r="A1085" s="83"/>
    </row>
    <row r="1086" spans="1:1" ht="15" x14ac:dyDescent="0.25">
      <c r="A1086" s="83"/>
    </row>
    <row r="1087" spans="1:1" ht="15" x14ac:dyDescent="0.25">
      <c r="A1087" s="83"/>
    </row>
    <row r="1088" spans="1:1" ht="15" x14ac:dyDescent="0.25">
      <c r="A1088" s="83"/>
    </row>
    <row r="1089" spans="1:1" ht="15" x14ac:dyDescent="0.25">
      <c r="A1089" s="83"/>
    </row>
    <row r="1090" spans="1:1" ht="15" x14ac:dyDescent="0.25">
      <c r="A1090" s="83"/>
    </row>
    <row r="1091" spans="1:1" ht="15" x14ac:dyDescent="0.25">
      <c r="A1091" s="83"/>
    </row>
    <row r="1092" spans="1:1" ht="15" x14ac:dyDescent="0.25">
      <c r="A1092" s="83"/>
    </row>
    <row r="1093" spans="1:1" ht="15" x14ac:dyDescent="0.25">
      <c r="A1093" s="83"/>
    </row>
    <row r="1094" spans="1:1" ht="15" x14ac:dyDescent="0.25">
      <c r="A1094" s="83"/>
    </row>
    <row r="1095" spans="1:1" ht="15" x14ac:dyDescent="0.25">
      <c r="A1095" s="83"/>
    </row>
    <row r="1096" spans="1:1" ht="15" x14ac:dyDescent="0.25">
      <c r="A1096" s="83"/>
    </row>
    <row r="1097" spans="1:1" ht="15" x14ac:dyDescent="0.25">
      <c r="A1097" s="83"/>
    </row>
    <row r="1098" spans="1:1" ht="15" x14ac:dyDescent="0.25">
      <c r="A1098" s="83"/>
    </row>
    <row r="1099" spans="1:1" ht="15" x14ac:dyDescent="0.25">
      <c r="A1099" s="83"/>
    </row>
    <row r="1100" spans="1:1" ht="15" x14ac:dyDescent="0.25">
      <c r="A1100" s="83"/>
    </row>
    <row r="1101" spans="1:1" ht="15" x14ac:dyDescent="0.25">
      <c r="A1101" s="83"/>
    </row>
    <row r="1102" spans="1:1" ht="15" x14ac:dyDescent="0.25">
      <c r="A1102" s="83"/>
    </row>
    <row r="1103" spans="1:1" ht="15" x14ac:dyDescent="0.25">
      <c r="A1103" s="83"/>
    </row>
    <row r="1104" spans="1:1" ht="15" x14ac:dyDescent="0.25">
      <c r="A1104" s="83"/>
    </row>
    <row r="1105" spans="1:1" ht="15" x14ac:dyDescent="0.25">
      <c r="A1105" s="83"/>
    </row>
    <row r="1106" spans="1:1" ht="15" x14ac:dyDescent="0.25">
      <c r="A1106" s="83"/>
    </row>
    <row r="1107" spans="1:1" ht="15" x14ac:dyDescent="0.25">
      <c r="A1107" s="83"/>
    </row>
    <row r="1108" spans="1:1" ht="15" x14ac:dyDescent="0.25">
      <c r="A1108" s="83"/>
    </row>
    <row r="1109" spans="1:1" ht="15" x14ac:dyDescent="0.25">
      <c r="A1109" s="83"/>
    </row>
    <row r="1110" spans="1:1" ht="15" x14ac:dyDescent="0.25">
      <c r="A1110" s="83"/>
    </row>
    <row r="1111" spans="1:1" ht="15" x14ac:dyDescent="0.25">
      <c r="A1111" s="83"/>
    </row>
    <row r="1112" spans="1:1" ht="15" x14ac:dyDescent="0.25">
      <c r="A1112" s="83"/>
    </row>
    <row r="1113" spans="1:1" ht="15" x14ac:dyDescent="0.25">
      <c r="A1113" s="83"/>
    </row>
    <row r="1114" spans="1:1" ht="15" x14ac:dyDescent="0.25">
      <c r="A1114" s="83"/>
    </row>
    <row r="1115" spans="1:1" ht="15" x14ac:dyDescent="0.25">
      <c r="A1115" s="83"/>
    </row>
    <row r="1116" spans="1:1" ht="15" x14ac:dyDescent="0.25">
      <c r="A1116" s="83"/>
    </row>
    <row r="1117" spans="1:1" ht="15" x14ac:dyDescent="0.25">
      <c r="A1117" s="83"/>
    </row>
    <row r="1118" spans="1:1" ht="15" x14ac:dyDescent="0.25">
      <c r="A1118" s="83"/>
    </row>
    <row r="1119" spans="1:1" ht="15" x14ac:dyDescent="0.25">
      <c r="A1119" s="83"/>
    </row>
    <row r="1120" spans="1:1" ht="15" x14ac:dyDescent="0.25">
      <c r="A1120" s="83"/>
    </row>
    <row r="1121" spans="1:1" ht="15" x14ac:dyDescent="0.25">
      <c r="A1121" s="83"/>
    </row>
    <row r="1122" spans="1:1" ht="15" x14ac:dyDescent="0.25">
      <c r="A1122" s="83"/>
    </row>
    <row r="1123" spans="1:1" ht="15" x14ac:dyDescent="0.25">
      <c r="A1123" s="83"/>
    </row>
    <row r="1124" spans="1:1" ht="15" x14ac:dyDescent="0.25">
      <c r="A1124" s="83"/>
    </row>
    <row r="1125" spans="1:1" ht="15" x14ac:dyDescent="0.25">
      <c r="A1125" s="83"/>
    </row>
    <row r="1126" spans="1:1" ht="15" x14ac:dyDescent="0.25">
      <c r="A1126" s="83"/>
    </row>
    <row r="1127" spans="1:1" ht="15" x14ac:dyDescent="0.25">
      <c r="A1127" s="83"/>
    </row>
    <row r="1128" spans="1:1" ht="15" x14ac:dyDescent="0.25">
      <c r="A1128" s="83"/>
    </row>
    <row r="1129" spans="1:1" ht="15" x14ac:dyDescent="0.25">
      <c r="A1129" s="83"/>
    </row>
    <row r="1130" spans="1:1" ht="15" x14ac:dyDescent="0.25">
      <c r="A1130" s="83"/>
    </row>
    <row r="1131" spans="1:1" ht="15" x14ac:dyDescent="0.25">
      <c r="A1131" s="83"/>
    </row>
    <row r="1132" spans="1:1" ht="15" x14ac:dyDescent="0.25">
      <c r="A1132" s="83"/>
    </row>
    <row r="1133" spans="1:1" ht="15" x14ac:dyDescent="0.25">
      <c r="A1133" s="83"/>
    </row>
    <row r="1134" spans="1:1" ht="15" x14ac:dyDescent="0.25">
      <c r="A1134" s="83"/>
    </row>
    <row r="1135" spans="1:1" ht="15" x14ac:dyDescent="0.25">
      <c r="A1135" s="83"/>
    </row>
    <row r="1136" spans="1:1" ht="15" x14ac:dyDescent="0.25">
      <c r="A1136" s="83"/>
    </row>
    <row r="1137" spans="1:1" ht="15" x14ac:dyDescent="0.25">
      <c r="A1137" s="83"/>
    </row>
    <row r="1138" spans="1:1" ht="15" x14ac:dyDescent="0.25">
      <c r="A1138" s="83"/>
    </row>
    <row r="1139" spans="1:1" ht="15" x14ac:dyDescent="0.25">
      <c r="A1139" s="83"/>
    </row>
    <row r="1140" spans="1:1" ht="15" x14ac:dyDescent="0.25">
      <c r="A1140" s="83"/>
    </row>
    <row r="1141" spans="1:1" ht="15" x14ac:dyDescent="0.25">
      <c r="A1141" s="83"/>
    </row>
    <row r="1142" spans="1:1" ht="15" x14ac:dyDescent="0.25">
      <c r="A1142" s="83"/>
    </row>
    <row r="1143" spans="1:1" ht="15" x14ac:dyDescent="0.25">
      <c r="A1143" s="83"/>
    </row>
    <row r="1144" spans="1:1" ht="15" x14ac:dyDescent="0.25">
      <c r="A1144" s="83"/>
    </row>
    <row r="1145" spans="1:1" ht="15" x14ac:dyDescent="0.25">
      <c r="A1145" s="83"/>
    </row>
    <row r="1146" spans="1:1" ht="15" x14ac:dyDescent="0.25">
      <c r="A1146" s="83"/>
    </row>
    <row r="1147" spans="1:1" ht="15" x14ac:dyDescent="0.25">
      <c r="A1147" s="83"/>
    </row>
    <row r="1148" spans="1:1" ht="15" x14ac:dyDescent="0.25">
      <c r="A1148" s="83"/>
    </row>
    <row r="1149" spans="1:1" ht="15" x14ac:dyDescent="0.25">
      <c r="A1149" s="83"/>
    </row>
    <row r="1150" spans="1:1" ht="15" x14ac:dyDescent="0.25">
      <c r="A1150" s="83"/>
    </row>
    <row r="1151" spans="1:1" ht="15" x14ac:dyDescent="0.25">
      <c r="A1151" s="83"/>
    </row>
    <row r="1152" spans="1:1" ht="15" x14ac:dyDescent="0.25">
      <c r="A1152" s="83"/>
    </row>
    <row r="1153" spans="1:1" ht="15" x14ac:dyDescent="0.25">
      <c r="A1153" s="83"/>
    </row>
    <row r="1154" spans="1:1" ht="15" x14ac:dyDescent="0.25">
      <c r="A1154" s="83"/>
    </row>
    <row r="1155" spans="1:1" ht="15" x14ac:dyDescent="0.25">
      <c r="A1155" s="83"/>
    </row>
    <row r="1156" spans="1:1" ht="15" x14ac:dyDescent="0.25">
      <c r="A1156" s="83"/>
    </row>
    <row r="1157" spans="1:1" ht="15" x14ac:dyDescent="0.25">
      <c r="A1157" s="83"/>
    </row>
    <row r="1158" spans="1:1" ht="15" x14ac:dyDescent="0.25">
      <c r="A1158" s="83"/>
    </row>
    <row r="1159" spans="1:1" ht="15" x14ac:dyDescent="0.25">
      <c r="A1159" s="83"/>
    </row>
    <row r="1160" spans="1:1" ht="15" x14ac:dyDescent="0.25">
      <c r="A1160" s="83"/>
    </row>
    <row r="1161" spans="1:1" ht="15" x14ac:dyDescent="0.25">
      <c r="A1161" s="83"/>
    </row>
    <row r="1162" spans="1:1" ht="15" x14ac:dyDescent="0.25">
      <c r="A1162" s="83"/>
    </row>
    <row r="1163" spans="1:1" ht="15" x14ac:dyDescent="0.25">
      <c r="A1163" s="83"/>
    </row>
    <row r="1164" spans="1:1" ht="15" x14ac:dyDescent="0.25">
      <c r="A1164" s="83"/>
    </row>
    <row r="1165" spans="1:1" ht="15" x14ac:dyDescent="0.25">
      <c r="A1165" s="83"/>
    </row>
    <row r="1166" spans="1:1" ht="15" x14ac:dyDescent="0.25">
      <c r="A1166" s="83"/>
    </row>
    <row r="1167" spans="1:1" ht="15" x14ac:dyDescent="0.25">
      <c r="A1167" s="83"/>
    </row>
    <row r="1168" spans="1:1" ht="15" x14ac:dyDescent="0.25">
      <c r="A1168" s="83"/>
    </row>
    <row r="1169" spans="1:1" ht="15" x14ac:dyDescent="0.25">
      <c r="A1169" s="83"/>
    </row>
    <row r="1170" spans="1:1" ht="15" x14ac:dyDescent="0.25">
      <c r="A1170" s="83"/>
    </row>
    <row r="1171" spans="1:1" ht="15" x14ac:dyDescent="0.25">
      <c r="A1171" s="83"/>
    </row>
    <row r="1172" spans="1:1" ht="15" x14ac:dyDescent="0.25">
      <c r="A1172" s="83"/>
    </row>
    <row r="1173" spans="1:1" ht="15" x14ac:dyDescent="0.25">
      <c r="A1173" s="83"/>
    </row>
    <row r="1174" spans="1:1" ht="15" x14ac:dyDescent="0.25">
      <c r="A1174" s="83"/>
    </row>
    <row r="1175" spans="1:1" ht="15" x14ac:dyDescent="0.25">
      <c r="A1175" s="83"/>
    </row>
    <row r="1176" spans="1:1" ht="15" x14ac:dyDescent="0.25">
      <c r="A1176" s="83"/>
    </row>
    <row r="1177" spans="1:1" ht="15" x14ac:dyDescent="0.25">
      <c r="A1177" s="83"/>
    </row>
    <row r="1178" spans="1:1" ht="15" x14ac:dyDescent="0.25">
      <c r="A1178" s="83"/>
    </row>
    <row r="1179" spans="1:1" ht="15" x14ac:dyDescent="0.25">
      <c r="A1179" s="83"/>
    </row>
    <row r="1180" spans="1:1" ht="15" x14ac:dyDescent="0.25">
      <c r="A1180" s="83"/>
    </row>
    <row r="1181" spans="1:1" ht="15" x14ac:dyDescent="0.25">
      <c r="A1181" s="83"/>
    </row>
    <row r="1182" spans="1:1" ht="15" x14ac:dyDescent="0.25">
      <c r="A1182" s="83"/>
    </row>
    <row r="1183" spans="1:1" ht="15" x14ac:dyDescent="0.25">
      <c r="A1183" s="83"/>
    </row>
    <row r="1184" spans="1:1" ht="15" x14ac:dyDescent="0.25">
      <c r="A1184" s="83"/>
    </row>
    <row r="1185" spans="1:1" ht="15" x14ac:dyDescent="0.25">
      <c r="A1185" s="83"/>
    </row>
    <row r="1186" spans="1:1" ht="15" x14ac:dyDescent="0.25">
      <c r="A1186" s="83"/>
    </row>
    <row r="1187" spans="1:1" ht="15" x14ac:dyDescent="0.25">
      <c r="A1187" s="83"/>
    </row>
    <row r="1188" spans="1:1" ht="15" x14ac:dyDescent="0.25">
      <c r="A1188" s="83"/>
    </row>
    <row r="1189" spans="1:1" ht="15" x14ac:dyDescent="0.25">
      <c r="A1189" s="83"/>
    </row>
    <row r="1190" spans="1:1" ht="15" x14ac:dyDescent="0.25">
      <c r="A1190" s="83"/>
    </row>
    <row r="1191" spans="1:1" ht="15" x14ac:dyDescent="0.25">
      <c r="A1191" s="83"/>
    </row>
    <row r="1192" spans="1:1" ht="15" x14ac:dyDescent="0.25">
      <c r="A1192" s="83"/>
    </row>
    <row r="1193" spans="1:1" ht="15" x14ac:dyDescent="0.25">
      <c r="A1193" s="83"/>
    </row>
    <row r="1194" spans="1:1" ht="15" x14ac:dyDescent="0.25">
      <c r="A1194" s="83"/>
    </row>
    <row r="1195" spans="1:1" ht="15" x14ac:dyDescent="0.25">
      <c r="A1195" s="83"/>
    </row>
    <row r="1196" spans="1:1" ht="15" x14ac:dyDescent="0.25">
      <c r="A1196" s="83"/>
    </row>
    <row r="1197" spans="1:1" ht="15" x14ac:dyDescent="0.25">
      <c r="A1197" s="83"/>
    </row>
    <row r="1198" spans="1:1" ht="15" x14ac:dyDescent="0.25">
      <c r="A1198" s="83"/>
    </row>
    <row r="1199" spans="1:1" ht="15" x14ac:dyDescent="0.25">
      <c r="A1199" s="83"/>
    </row>
    <row r="1200" spans="1:1" ht="15" x14ac:dyDescent="0.25">
      <c r="A1200" s="83"/>
    </row>
    <row r="1201" spans="1:1" ht="15" x14ac:dyDescent="0.25">
      <c r="A1201" s="83"/>
    </row>
    <row r="1202" spans="1:1" ht="15" x14ac:dyDescent="0.25">
      <c r="A1202" s="83"/>
    </row>
    <row r="1203" spans="1:1" ht="15" x14ac:dyDescent="0.25">
      <c r="A1203" s="83"/>
    </row>
    <row r="1204" spans="1:1" ht="15" x14ac:dyDescent="0.25">
      <c r="A1204" s="83"/>
    </row>
    <row r="1205" spans="1:1" ht="15" x14ac:dyDescent="0.25">
      <c r="A1205" s="83"/>
    </row>
    <row r="1206" spans="1:1" ht="15" x14ac:dyDescent="0.25">
      <c r="A1206" s="83"/>
    </row>
    <row r="1207" spans="1:1" ht="15" x14ac:dyDescent="0.25">
      <c r="A1207" s="83"/>
    </row>
    <row r="1208" spans="1:1" ht="15" x14ac:dyDescent="0.25">
      <c r="A1208" s="83"/>
    </row>
    <row r="1209" spans="1:1" ht="15" x14ac:dyDescent="0.25">
      <c r="A1209" s="83"/>
    </row>
    <row r="1210" spans="1:1" ht="15" x14ac:dyDescent="0.25">
      <c r="A1210" s="83"/>
    </row>
    <row r="1211" spans="1:1" ht="15" x14ac:dyDescent="0.25">
      <c r="A1211" s="83"/>
    </row>
    <row r="1212" spans="1:1" ht="15" x14ac:dyDescent="0.25">
      <c r="A1212" s="83"/>
    </row>
    <row r="1213" spans="1:1" ht="15" x14ac:dyDescent="0.25">
      <c r="A1213" s="83"/>
    </row>
    <row r="1214" spans="1:1" ht="15" x14ac:dyDescent="0.25">
      <c r="A1214" s="83"/>
    </row>
    <row r="1215" spans="1:1" ht="15" x14ac:dyDescent="0.25">
      <c r="A1215" s="83"/>
    </row>
    <row r="1216" spans="1:1" ht="15" x14ac:dyDescent="0.25">
      <c r="A1216" s="83"/>
    </row>
    <row r="1217" spans="1:1" ht="15" x14ac:dyDescent="0.25">
      <c r="A1217" s="83"/>
    </row>
    <row r="1218" spans="1:1" ht="15" x14ac:dyDescent="0.25">
      <c r="A1218" s="83"/>
    </row>
    <row r="1219" spans="1:1" ht="15" x14ac:dyDescent="0.25">
      <c r="A1219" s="83"/>
    </row>
    <row r="1220" spans="1:1" ht="15" x14ac:dyDescent="0.25">
      <c r="A1220" s="83"/>
    </row>
    <row r="1221" spans="1:1" ht="15" x14ac:dyDescent="0.25">
      <c r="A1221" s="83"/>
    </row>
    <row r="1222" spans="1:1" ht="15" x14ac:dyDescent="0.25">
      <c r="A1222" s="83"/>
    </row>
    <row r="1223" spans="1:1" ht="15" x14ac:dyDescent="0.25">
      <c r="A1223" s="83"/>
    </row>
    <row r="1224" spans="1:1" ht="15" x14ac:dyDescent="0.25">
      <c r="A1224" s="83"/>
    </row>
    <row r="1225" spans="1:1" ht="15" x14ac:dyDescent="0.25">
      <c r="A1225" s="83"/>
    </row>
    <row r="1226" spans="1:1" ht="15" x14ac:dyDescent="0.25">
      <c r="A1226" s="83"/>
    </row>
    <row r="1227" spans="1:1" ht="15" x14ac:dyDescent="0.25">
      <c r="A1227" s="83"/>
    </row>
    <row r="1228" spans="1:1" ht="15" x14ac:dyDescent="0.25">
      <c r="A1228" s="83"/>
    </row>
    <row r="1229" spans="1:1" ht="15" x14ac:dyDescent="0.25">
      <c r="A1229" s="83"/>
    </row>
    <row r="1230" spans="1:1" ht="15" x14ac:dyDescent="0.25">
      <c r="A1230" s="83"/>
    </row>
    <row r="1231" spans="1:1" ht="15" x14ac:dyDescent="0.25">
      <c r="A1231" s="83"/>
    </row>
    <row r="1232" spans="1:1" ht="15" x14ac:dyDescent="0.25">
      <c r="A1232" s="83"/>
    </row>
    <row r="1233" spans="1:1" ht="15" x14ac:dyDescent="0.25">
      <c r="A1233" s="83"/>
    </row>
    <row r="1234" spans="1:1" ht="15" x14ac:dyDescent="0.25">
      <c r="A1234" s="83"/>
    </row>
    <row r="1235" spans="1:1" ht="15" x14ac:dyDescent="0.25">
      <c r="A1235" s="83"/>
    </row>
    <row r="1236" spans="1:1" ht="15" x14ac:dyDescent="0.25">
      <c r="A1236" s="83"/>
    </row>
    <row r="1237" spans="1:1" ht="15" x14ac:dyDescent="0.25">
      <c r="A1237" s="83"/>
    </row>
    <row r="1238" spans="1:1" ht="15" x14ac:dyDescent="0.25">
      <c r="A1238" s="83"/>
    </row>
    <row r="1239" spans="1:1" ht="15" x14ac:dyDescent="0.25">
      <c r="A1239" s="83"/>
    </row>
    <row r="1240" spans="1:1" ht="15" x14ac:dyDescent="0.25">
      <c r="A1240" s="83"/>
    </row>
    <row r="1241" spans="1:1" ht="15" x14ac:dyDescent="0.25">
      <c r="A1241" s="83"/>
    </row>
    <row r="1242" spans="1:1" ht="15" x14ac:dyDescent="0.25">
      <c r="A1242" s="83"/>
    </row>
    <row r="1243" spans="1:1" ht="15" x14ac:dyDescent="0.25">
      <c r="A1243" s="83"/>
    </row>
    <row r="1244" spans="1:1" ht="15" x14ac:dyDescent="0.25">
      <c r="A1244" s="83"/>
    </row>
    <row r="1245" spans="1:1" ht="15" x14ac:dyDescent="0.25">
      <c r="A1245" s="83"/>
    </row>
    <row r="1246" spans="1:1" ht="15" x14ac:dyDescent="0.25">
      <c r="A1246" s="83"/>
    </row>
    <row r="1247" spans="1:1" ht="15" x14ac:dyDescent="0.25">
      <c r="A1247" s="83"/>
    </row>
    <row r="1248" spans="1:1" ht="15" x14ac:dyDescent="0.25">
      <c r="A1248" s="83"/>
    </row>
    <row r="1249" spans="1:1" ht="15" x14ac:dyDescent="0.25">
      <c r="A1249" s="83"/>
    </row>
    <row r="1250" spans="1:1" ht="15" x14ac:dyDescent="0.25">
      <c r="A1250" s="83"/>
    </row>
    <row r="1251" spans="1:1" ht="15" x14ac:dyDescent="0.25">
      <c r="A1251" s="83"/>
    </row>
    <row r="1252" spans="1:1" ht="15" x14ac:dyDescent="0.25">
      <c r="A1252" s="83"/>
    </row>
    <row r="1253" spans="1:1" ht="15" x14ac:dyDescent="0.25">
      <c r="A1253" s="83"/>
    </row>
    <row r="1254" spans="1:1" ht="15" x14ac:dyDescent="0.25">
      <c r="A1254" s="83"/>
    </row>
    <row r="1255" spans="1:1" ht="15" x14ac:dyDescent="0.25">
      <c r="A1255" s="83"/>
    </row>
    <row r="1256" spans="1:1" ht="15" x14ac:dyDescent="0.25">
      <c r="A1256" s="83"/>
    </row>
    <row r="1257" spans="1:1" ht="15" x14ac:dyDescent="0.25">
      <c r="A1257" s="83"/>
    </row>
    <row r="1258" spans="1:1" ht="15" x14ac:dyDescent="0.25">
      <c r="A1258" s="83"/>
    </row>
    <row r="1259" spans="1:1" ht="15" x14ac:dyDescent="0.25">
      <c r="A1259" s="83"/>
    </row>
    <row r="1260" spans="1:1" ht="15" x14ac:dyDescent="0.25">
      <c r="A1260" s="83"/>
    </row>
    <row r="1261" spans="1:1" ht="15" x14ac:dyDescent="0.25">
      <c r="A1261" s="83"/>
    </row>
    <row r="1262" spans="1:1" ht="15" x14ac:dyDescent="0.25">
      <c r="A1262" s="83"/>
    </row>
    <row r="1263" spans="1:1" ht="15" x14ac:dyDescent="0.25">
      <c r="A1263" s="83"/>
    </row>
    <row r="1264" spans="1:1" ht="15" x14ac:dyDescent="0.25">
      <c r="A1264" s="83"/>
    </row>
    <row r="1265" spans="1:1" ht="15" x14ac:dyDescent="0.25">
      <c r="A1265" s="83"/>
    </row>
    <row r="1266" spans="1:1" ht="15" x14ac:dyDescent="0.25">
      <c r="A1266" s="83"/>
    </row>
    <row r="1267" spans="1:1" ht="15" x14ac:dyDescent="0.25">
      <c r="A1267" s="83"/>
    </row>
    <row r="1268" spans="1:1" ht="15" x14ac:dyDescent="0.25">
      <c r="A1268" s="83"/>
    </row>
    <row r="1269" spans="1:1" ht="15" x14ac:dyDescent="0.25">
      <c r="A1269" s="83"/>
    </row>
    <row r="1270" spans="1:1" ht="15" x14ac:dyDescent="0.25">
      <c r="A1270" s="83"/>
    </row>
    <row r="1271" spans="1:1" ht="15" x14ac:dyDescent="0.25">
      <c r="A1271" s="83"/>
    </row>
    <row r="1272" spans="1:1" ht="15" x14ac:dyDescent="0.25">
      <c r="A1272" s="83"/>
    </row>
    <row r="1273" spans="1:1" ht="15" x14ac:dyDescent="0.25">
      <c r="A1273" s="83"/>
    </row>
    <row r="1274" spans="1:1" ht="15" x14ac:dyDescent="0.25">
      <c r="A1274" s="83"/>
    </row>
    <row r="1275" spans="1:1" ht="15" x14ac:dyDescent="0.25">
      <c r="A1275" s="83"/>
    </row>
    <row r="1276" spans="1:1" ht="15" x14ac:dyDescent="0.25">
      <c r="A1276" s="83"/>
    </row>
    <row r="1277" spans="1:1" ht="15" x14ac:dyDescent="0.25">
      <c r="A1277" s="83"/>
    </row>
    <row r="1278" spans="1:1" ht="15" x14ac:dyDescent="0.25">
      <c r="A1278" s="83"/>
    </row>
    <row r="1279" spans="1:1" ht="15" x14ac:dyDescent="0.25">
      <c r="A1279" s="83"/>
    </row>
    <row r="1280" spans="1:1" ht="15" x14ac:dyDescent="0.25">
      <c r="A1280" s="83"/>
    </row>
    <row r="1281" spans="1:1" ht="15" x14ac:dyDescent="0.25">
      <c r="A1281" s="83"/>
    </row>
    <row r="1282" spans="1:1" ht="15" x14ac:dyDescent="0.25">
      <c r="A1282" s="83"/>
    </row>
    <row r="1283" spans="1:1" ht="15" x14ac:dyDescent="0.25">
      <c r="A1283" s="83"/>
    </row>
    <row r="1284" spans="1:1" ht="15" x14ac:dyDescent="0.25">
      <c r="A1284" s="83"/>
    </row>
    <row r="1285" spans="1:1" ht="15" x14ac:dyDescent="0.25">
      <c r="A1285" s="83"/>
    </row>
    <row r="1286" spans="1:1" ht="15" x14ac:dyDescent="0.25">
      <c r="A1286" s="83"/>
    </row>
    <row r="1287" spans="1:1" ht="15" x14ac:dyDescent="0.25">
      <c r="A1287" s="83"/>
    </row>
    <row r="1288" spans="1:1" ht="15" x14ac:dyDescent="0.25">
      <c r="A1288" s="83"/>
    </row>
    <row r="1289" spans="1:1" ht="15" x14ac:dyDescent="0.25">
      <c r="A1289" s="83"/>
    </row>
    <row r="1290" spans="1:1" ht="15" x14ac:dyDescent="0.25">
      <c r="A1290" s="83"/>
    </row>
    <row r="1291" spans="1:1" ht="15" x14ac:dyDescent="0.25">
      <c r="A1291" s="83"/>
    </row>
    <row r="1292" spans="1:1" ht="15" x14ac:dyDescent="0.25">
      <c r="A1292" s="83"/>
    </row>
    <row r="1293" spans="1:1" ht="15" x14ac:dyDescent="0.25">
      <c r="A1293" s="83"/>
    </row>
    <row r="1294" spans="1:1" ht="15" x14ac:dyDescent="0.25">
      <c r="A1294" s="83"/>
    </row>
    <row r="1295" spans="1:1" ht="15" x14ac:dyDescent="0.25">
      <c r="A1295" s="83"/>
    </row>
    <row r="1296" spans="1:1" ht="15" x14ac:dyDescent="0.25">
      <c r="A1296" s="83"/>
    </row>
    <row r="1297" spans="1:1" ht="15" x14ac:dyDescent="0.25">
      <c r="A1297" s="83"/>
    </row>
    <row r="1298" spans="1:1" ht="15" x14ac:dyDescent="0.25">
      <c r="A1298" s="83"/>
    </row>
    <row r="1299" spans="1:1" ht="15" x14ac:dyDescent="0.25">
      <c r="A1299" s="83"/>
    </row>
    <row r="1300" spans="1:1" ht="15" x14ac:dyDescent="0.25">
      <c r="A1300" s="83"/>
    </row>
    <row r="1301" spans="1:1" ht="15" x14ac:dyDescent="0.25">
      <c r="A1301" s="83"/>
    </row>
    <row r="1302" spans="1:1" ht="15" x14ac:dyDescent="0.25">
      <c r="A1302" s="83"/>
    </row>
    <row r="1303" spans="1:1" ht="15" x14ac:dyDescent="0.25">
      <c r="A1303" s="83"/>
    </row>
    <row r="1304" spans="1:1" ht="15" x14ac:dyDescent="0.25">
      <c r="A1304" s="83"/>
    </row>
    <row r="1305" spans="1:1" ht="15" x14ac:dyDescent="0.25">
      <c r="A1305" s="83"/>
    </row>
    <row r="1306" spans="1:1" ht="15" x14ac:dyDescent="0.25">
      <c r="A1306" s="83"/>
    </row>
    <row r="1307" spans="1:1" ht="15" x14ac:dyDescent="0.25">
      <c r="A1307" s="83"/>
    </row>
    <row r="1308" spans="1:1" ht="15" x14ac:dyDescent="0.25">
      <c r="A1308" s="83"/>
    </row>
    <row r="1309" spans="1:1" ht="15" x14ac:dyDescent="0.25">
      <c r="A1309" s="83"/>
    </row>
    <row r="1310" spans="1:1" ht="15" x14ac:dyDescent="0.25">
      <c r="A1310" s="83"/>
    </row>
    <row r="1311" spans="1:1" ht="15" x14ac:dyDescent="0.25">
      <c r="A1311" s="83"/>
    </row>
    <row r="1312" spans="1:1" ht="15" x14ac:dyDescent="0.25">
      <c r="A1312" s="83"/>
    </row>
    <row r="1313" spans="1:1" ht="15" x14ac:dyDescent="0.25">
      <c r="A1313" s="83"/>
    </row>
    <row r="1314" spans="1:1" ht="15" x14ac:dyDescent="0.25">
      <c r="A1314" s="83"/>
    </row>
    <row r="1315" spans="1:1" ht="15" x14ac:dyDescent="0.25">
      <c r="A1315" s="83"/>
    </row>
    <row r="1316" spans="1:1" ht="15" x14ac:dyDescent="0.25">
      <c r="A1316" s="83"/>
    </row>
    <row r="1317" spans="1:1" ht="15" x14ac:dyDescent="0.25">
      <c r="A1317" s="83"/>
    </row>
    <row r="1318" spans="1:1" ht="15" x14ac:dyDescent="0.25">
      <c r="A1318" s="83"/>
    </row>
    <row r="1319" spans="1:1" ht="15" x14ac:dyDescent="0.25">
      <c r="A1319" s="83"/>
    </row>
    <row r="1320" spans="1:1" ht="15" x14ac:dyDescent="0.25">
      <c r="A1320" s="83"/>
    </row>
    <row r="1321" spans="1:1" ht="15" x14ac:dyDescent="0.25">
      <c r="A1321" s="83"/>
    </row>
    <row r="1322" spans="1:1" ht="15" x14ac:dyDescent="0.25">
      <c r="A1322" s="83"/>
    </row>
    <row r="1323" spans="1:1" ht="15" x14ac:dyDescent="0.25">
      <c r="A1323" s="83"/>
    </row>
    <row r="1324" spans="1:1" ht="15" x14ac:dyDescent="0.25">
      <c r="A1324" s="83"/>
    </row>
    <row r="1325" spans="1:1" ht="15" x14ac:dyDescent="0.25">
      <c r="A1325" s="83"/>
    </row>
    <row r="1326" spans="1:1" ht="15" x14ac:dyDescent="0.25">
      <c r="A1326" s="83"/>
    </row>
    <row r="1327" spans="1:1" ht="15" x14ac:dyDescent="0.25">
      <c r="A1327" s="83"/>
    </row>
    <row r="1328" spans="1:1" ht="15" x14ac:dyDescent="0.25">
      <c r="A1328" s="83"/>
    </row>
    <row r="1329" spans="1:1" ht="15" x14ac:dyDescent="0.25">
      <c r="A1329" s="83"/>
    </row>
    <row r="1330" spans="1:1" ht="15" x14ac:dyDescent="0.25">
      <c r="A1330" s="83"/>
    </row>
    <row r="1331" spans="1:1" ht="15" x14ac:dyDescent="0.25">
      <c r="A1331" s="83"/>
    </row>
    <row r="1332" spans="1:1" ht="15" x14ac:dyDescent="0.25">
      <c r="A1332" s="83"/>
    </row>
    <row r="1333" spans="1:1" ht="15" x14ac:dyDescent="0.25">
      <c r="A1333" s="83"/>
    </row>
    <row r="1334" spans="1:1" ht="15" x14ac:dyDescent="0.25">
      <c r="A1334" s="83"/>
    </row>
    <row r="1335" spans="1:1" ht="15" x14ac:dyDescent="0.25">
      <c r="A1335" s="83"/>
    </row>
    <row r="1336" spans="1:1" ht="15" x14ac:dyDescent="0.25">
      <c r="A1336" s="83"/>
    </row>
    <row r="1337" spans="1:1" ht="15" x14ac:dyDescent="0.25">
      <c r="A1337" s="83"/>
    </row>
    <row r="1338" spans="1:1" ht="15" x14ac:dyDescent="0.25">
      <c r="A1338" s="83"/>
    </row>
    <row r="1339" spans="1:1" ht="15" x14ac:dyDescent="0.25">
      <c r="A1339" s="83"/>
    </row>
    <row r="1340" spans="1:1" ht="15" x14ac:dyDescent="0.25">
      <c r="A1340" s="83"/>
    </row>
    <row r="1341" spans="1:1" ht="15" x14ac:dyDescent="0.25">
      <c r="A1341" s="83"/>
    </row>
    <row r="1342" spans="1:1" ht="15" x14ac:dyDescent="0.25">
      <c r="A1342" s="83"/>
    </row>
    <row r="1343" spans="1:1" ht="15" x14ac:dyDescent="0.25">
      <c r="A1343" s="83"/>
    </row>
    <row r="1344" spans="1:1" ht="15" x14ac:dyDescent="0.25">
      <c r="A1344" s="83"/>
    </row>
    <row r="1345" spans="1:1" ht="15" x14ac:dyDescent="0.25">
      <c r="A1345" s="83"/>
    </row>
    <row r="1346" spans="1:1" ht="15" x14ac:dyDescent="0.25">
      <c r="A1346" s="83"/>
    </row>
    <row r="1347" spans="1:1" ht="15" x14ac:dyDescent="0.25">
      <c r="A1347" s="83"/>
    </row>
    <row r="1348" spans="1:1" ht="15" x14ac:dyDescent="0.25">
      <c r="A1348" s="83"/>
    </row>
    <row r="1349" spans="1:1" ht="15" x14ac:dyDescent="0.25">
      <c r="A1349" s="83"/>
    </row>
    <row r="1350" spans="1:1" ht="15" x14ac:dyDescent="0.25">
      <c r="A1350" s="83"/>
    </row>
    <row r="1351" spans="1:1" ht="15" x14ac:dyDescent="0.25">
      <c r="A1351" s="83"/>
    </row>
    <row r="1352" spans="1:1" ht="15" x14ac:dyDescent="0.25">
      <c r="A1352" s="83"/>
    </row>
    <row r="1353" spans="1:1" ht="15" x14ac:dyDescent="0.25">
      <c r="A1353" s="83"/>
    </row>
    <row r="1354" spans="1:1" ht="15" x14ac:dyDescent="0.25">
      <c r="A1354" s="83"/>
    </row>
    <row r="1355" spans="1:1" ht="15" x14ac:dyDescent="0.25">
      <c r="A1355" s="83"/>
    </row>
    <row r="1356" spans="1:1" ht="15" x14ac:dyDescent="0.25">
      <c r="A1356" s="83"/>
    </row>
    <row r="1357" spans="1:1" ht="15" x14ac:dyDescent="0.25">
      <c r="A1357" s="83"/>
    </row>
    <row r="1358" spans="1:1" ht="15" x14ac:dyDescent="0.25">
      <c r="A1358" s="83"/>
    </row>
    <row r="1359" spans="1:1" ht="15" x14ac:dyDescent="0.25">
      <c r="A1359" s="83"/>
    </row>
    <row r="1360" spans="1:1" ht="15" x14ac:dyDescent="0.25">
      <c r="A1360" s="83"/>
    </row>
    <row r="1361" spans="1:1" ht="15" x14ac:dyDescent="0.25">
      <c r="A1361" s="83"/>
    </row>
    <row r="1362" spans="1:1" ht="15" x14ac:dyDescent="0.25">
      <c r="A1362" s="83"/>
    </row>
    <row r="1363" spans="1:1" ht="15" x14ac:dyDescent="0.25">
      <c r="A1363" s="83"/>
    </row>
    <row r="1364" spans="1:1" ht="15" x14ac:dyDescent="0.25">
      <c r="A1364" s="83"/>
    </row>
    <row r="1365" spans="1:1" ht="15" x14ac:dyDescent="0.25">
      <c r="A1365" s="83"/>
    </row>
    <row r="1366" spans="1:1" ht="15" x14ac:dyDescent="0.25">
      <c r="A1366" s="83"/>
    </row>
    <row r="1367" spans="1:1" ht="15" x14ac:dyDescent="0.25">
      <c r="A1367" s="83"/>
    </row>
    <row r="1368" spans="1:1" ht="15" x14ac:dyDescent="0.25">
      <c r="A1368" s="83"/>
    </row>
    <row r="1369" spans="1:1" ht="15" x14ac:dyDescent="0.25">
      <c r="A1369" s="83"/>
    </row>
    <row r="1370" spans="1:1" ht="15" x14ac:dyDescent="0.25">
      <c r="A1370" s="83"/>
    </row>
    <row r="1371" spans="1:1" ht="15" x14ac:dyDescent="0.25">
      <c r="A1371" s="83"/>
    </row>
    <row r="1372" spans="1:1" ht="15" x14ac:dyDescent="0.25">
      <c r="A1372" s="83"/>
    </row>
    <row r="1373" spans="1:1" ht="15" x14ac:dyDescent="0.25">
      <c r="A1373" s="83"/>
    </row>
    <row r="1374" spans="1:1" ht="15" x14ac:dyDescent="0.25">
      <c r="A1374" s="83"/>
    </row>
    <row r="1375" spans="1:1" ht="15" x14ac:dyDescent="0.25">
      <c r="A1375" s="83"/>
    </row>
    <row r="1376" spans="1:1" ht="15" x14ac:dyDescent="0.25">
      <c r="A1376" s="83"/>
    </row>
    <row r="1377" spans="1:1" ht="15" x14ac:dyDescent="0.25">
      <c r="A1377" s="83"/>
    </row>
    <row r="1378" spans="1:1" ht="15" x14ac:dyDescent="0.25">
      <c r="A1378" s="83"/>
    </row>
    <row r="1379" spans="1:1" ht="15" x14ac:dyDescent="0.25">
      <c r="A1379" s="83"/>
    </row>
    <row r="1380" spans="1:1" ht="15" x14ac:dyDescent="0.25">
      <c r="A1380" s="83"/>
    </row>
    <row r="1381" spans="1:1" ht="15" x14ac:dyDescent="0.25">
      <c r="A1381" s="83"/>
    </row>
    <row r="1382" spans="1:1" ht="15" x14ac:dyDescent="0.25">
      <c r="A1382" s="83"/>
    </row>
    <row r="1383" spans="1:1" ht="15" x14ac:dyDescent="0.25">
      <c r="A1383" s="83"/>
    </row>
    <row r="1384" spans="1:1" ht="15" x14ac:dyDescent="0.25">
      <c r="A1384" s="83"/>
    </row>
    <row r="1385" spans="1:1" ht="15" x14ac:dyDescent="0.25">
      <c r="A1385" s="83"/>
    </row>
    <row r="1386" spans="1:1" ht="15" x14ac:dyDescent="0.25">
      <c r="A1386" s="83"/>
    </row>
    <row r="1387" spans="1:1" ht="15" x14ac:dyDescent="0.25">
      <c r="A1387" s="83"/>
    </row>
    <row r="1388" spans="1:1" ht="15" x14ac:dyDescent="0.25">
      <c r="A1388" s="83"/>
    </row>
    <row r="1389" spans="1:1" ht="15" x14ac:dyDescent="0.25">
      <c r="A1389" s="83"/>
    </row>
    <row r="1390" spans="1:1" ht="15" x14ac:dyDescent="0.25">
      <c r="A1390" s="83"/>
    </row>
    <row r="1391" spans="1:1" ht="15" x14ac:dyDescent="0.25">
      <c r="A1391" s="83"/>
    </row>
    <row r="1392" spans="1:1" ht="15" x14ac:dyDescent="0.25">
      <c r="A1392" s="83"/>
    </row>
    <row r="1393" spans="1:1" ht="15" x14ac:dyDescent="0.25">
      <c r="A1393" s="83"/>
    </row>
    <row r="1394" spans="1:1" ht="15" x14ac:dyDescent="0.25">
      <c r="A1394" s="83"/>
    </row>
    <row r="1395" spans="1:1" ht="15" x14ac:dyDescent="0.25">
      <c r="A1395" s="83"/>
    </row>
    <row r="1396" spans="1:1" ht="15" x14ac:dyDescent="0.25">
      <c r="A1396" s="83"/>
    </row>
    <row r="1397" spans="1:1" ht="15" x14ac:dyDescent="0.25">
      <c r="A1397" s="83"/>
    </row>
    <row r="1398" spans="1:1" ht="15" x14ac:dyDescent="0.25">
      <c r="A1398" s="83"/>
    </row>
    <row r="1399" spans="1:1" ht="15" x14ac:dyDescent="0.25">
      <c r="A1399" s="83"/>
    </row>
    <row r="1400" spans="1:1" ht="15" x14ac:dyDescent="0.25">
      <c r="A1400" s="83"/>
    </row>
    <row r="1401" spans="1:1" ht="15" x14ac:dyDescent="0.25">
      <c r="A1401" s="83"/>
    </row>
    <row r="1402" spans="1:1" ht="15" x14ac:dyDescent="0.25">
      <c r="A1402" s="83"/>
    </row>
    <row r="1403" spans="1:1" ht="15" x14ac:dyDescent="0.25">
      <c r="A1403" s="83"/>
    </row>
    <row r="1404" spans="1:1" ht="15" x14ac:dyDescent="0.25">
      <c r="A1404" s="83"/>
    </row>
    <row r="1405" spans="1:1" ht="15" x14ac:dyDescent="0.25">
      <c r="A1405" s="83"/>
    </row>
    <row r="1406" spans="1:1" ht="15" x14ac:dyDescent="0.25">
      <c r="A1406" s="83"/>
    </row>
    <row r="1407" spans="1:1" ht="15" x14ac:dyDescent="0.25">
      <c r="A1407" s="83"/>
    </row>
    <row r="1408" spans="1:1" ht="15" x14ac:dyDescent="0.25">
      <c r="A1408" s="83"/>
    </row>
    <row r="1409" spans="1:1" ht="15" x14ac:dyDescent="0.25">
      <c r="A1409" s="83"/>
    </row>
    <row r="1410" spans="1:1" ht="15" x14ac:dyDescent="0.25">
      <c r="A1410" s="83"/>
    </row>
    <row r="1411" spans="1:1" ht="15" x14ac:dyDescent="0.25">
      <c r="A1411" s="83"/>
    </row>
    <row r="1412" spans="1:1" ht="15" x14ac:dyDescent="0.25">
      <c r="A1412" s="83"/>
    </row>
    <row r="1413" spans="1:1" ht="15" x14ac:dyDescent="0.25">
      <c r="A1413" s="83"/>
    </row>
    <row r="1414" spans="1:1" ht="15" x14ac:dyDescent="0.25">
      <c r="A1414" s="83"/>
    </row>
    <row r="1415" spans="1:1" ht="15" x14ac:dyDescent="0.25">
      <c r="A1415" s="83"/>
    </row>
    <row r="1416" spans="1:1" ht="15" x14ac:dyDescent="0.25">
      <c r="A1416" s="83"/>
    </row>
    <row r="1417" spans="1:1" ht="15" x14ac:dyDescent="0.25">
      <c r="A1417" s="83"/>
    </row>
    <row r="1418" spans="1:1" ht="15" x14ac:dyDescent="0.25">
      <c r="A1418" s="83"/>
    </row>
    <row r="1419" spans="1:1" ht="15" x14ac:dyDescent="0.25">
      <c r="A1419" s="83"/>
    </row>
    <row r="1420" spans="1:1" ht="15" x14ac:dyDescent="0.25">
      <c r="A1420" s="83"/>
    </row>
    <row r="1421" spans="1:1" ht="15" x14ac:dyDescent="0.25">
      <c r="A1421" s="83"/>
    </row>
    <row r="1422" spans="1:1" ht="15" x14ac:dyDescent="0.25">
      <c r="A1422" s="83"/>
    </row>
    <row r="1423" spans="1:1" ht="15" x14ac:dyDescent="0.25">
      <c r="A1423" s="83"/>
    </row>
    <row r="1424" spans="1:1" ht="15" x14ac:dyDescent="0.25">
      <c r="A1424" s="83"/>
    </row>
    <row r="1425" spans="1:1" ht="15" x14ac:dyDescent="0.25">
      <c r="A1425" s="83"/>
    </row>
    <row r="1426" spans="1:1" ht="15" x14ac:dyDescent="0.25">
      <c r="A1426" s="83"/>
    </row>
    <row r="1427" spans="1:1" ht="15" x14ac:dyDescent="0.25">
      <c r="A1427" s="83"/>
    </row>
    <row r="1428" spans="1:1" ht="15" x14ac:dyDescent="0.25">
      <c r="A1428" s="83"/>
    </row>
    <row r="1429" spans="1:1" ht="15" x14ac:dyDescent="0.25">
      <c r="A1429" s="83"/>
    </row>
    <row r="1430" spans="1:1" ht="15" x14ac:dyDescent="0.25">
      <c r="A1430" s="83"/>
    </row>
    <row r="1431" spans="1:1" ht="15" x14ac:dyDescent="0.25">
      <c r="A1431" s="83"/>
    </row>
    <row r="1432" spans="1:1" ht="15" x14ac:dyDescent="0.25">
      <c r="A1432" s="83"/>
    </row>
    <row r="1433" spans="1:1" ht="15" x14ac:dyDescent="0.25">
      <c r="A1433" s="83"/>
    </row>
    <row r="1434" spans="1:1" ht="15" x14ac:dyDescent="0.25">
      <c r="A1434" s="83"/>
    </row>
    <row r="1435" spans="1:1" ht="15" x14ac:dyDescent="0.25">
      <c r="A1435" s="83"/>
    </row>
    <row r="1436" spans="1:1" ht="15" x14ac:dyDescent="0.25">
      <c r="A1436" s="83"/>
    </row>
    <row r="1437" spans="1:1" ht="15" x14ac:dyDescent="0.25">
      <c r="A1437" s="83"/>
    </row>
    <row r="1438" spans="1:1" ht="15" x14ac:dyDescent="0.25">
      <c r="A1438" s="83"/>
    </row>
    <row r="1439" spans="1:1" ht="15" x14ac:dyDescent="0.25">
      <c r="A1439" s="83"/>
    </row>
    <row r="1440" spans="1:1" ht="15" x14ac:dyDescent="0.25">
      <c r="A1440" s="83"/>
    </row>
    <row r="1441" spans="1:1" ht="15" x14ac:dyDescent="0.25">
      <c r="A1441" s="83"/>
    </row>
    <row r="1442" spans="1:1" ht="15" x14ac:dyDescent="0.25">
      <c r="A1442" s="83"/>
    </row>
    <row r="1443" spans="1:1" ht="15" x14ac:dyDescent="0.25">
      <c r="A1443" s="83"/>
    </row>
    <row r="1444" spans="1:1" ht="15" x14ac:dyDescent="0.25">
      <c r="A1444" s="83"/>
    </row>
    <row r="1445" spans="1:1" ht="15" x14ac:dyDescent="0.25">
      <c r="A1445" s="83"/>
    </row>
    <row r="1446" spans="1:1" ht="15" x14ac:dyDescent="0.25">
      <c r="A1446" s="83"/>
    </row>
    <row r="1447" spans="1:1" ht="15" x14ac:dyDescent="0.25">
      <c r="A1447" s="83"/>
    </row>
    <row r="1448" spans="1:1" ht="15" x14ac:dyDescent="0.25">
      <c r="A1448" s="83"/>
    </row>
    <row r="1449" spans="1:1" ht="15" x14ac:dyDescent="0.25">
      <c r="A1449" s="83"/>
    </row>
  </sheetData>
  <mergeCells count="5">
    <mergeCell ref="Q2:T2"/>
    <mergeCell ref="H2:J2"/>
    <mergeCell ref="K2:M2"/>
    <mergeCell ref="N2:P2"/>
    <mergeCell ref="D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4109-47B0-477D-A845-22ECDADF82AD}">
  <sheetPr filterMode="1"/>
  <dimension ref="A2:R83"/>
  <sheetViews>
    <sheetView workbookViewId="0">
      <pane xSplit="3" ySplit="3" topLeftCell="D17" activePane="bottomRight" state="frozen"/>
      <selection pane="topRight" activeCell="D1" sqref="D1"/>
      <selection pane="bottomLeft" activeCell="A4" sqref="A4"/>
      <selection pane="bottomRight" activeCell="E1" sqref="E1"/>
    </sheetView>
  </sheetViews>
  <sheetFormatPr defaultColWidth="9.140625" defaultRowHeight="12" x14ac:dyDescent="0.2"/>
  <cols>
    <col min="1" max="1" width="24.140625" style="94" bestFit="1" customWidth="1"/>
    <col min="2" max="2" width="21.85546875" style="94" bestFit="1" customWidth="1"/>
    <col min="3" max="3" width="54.42578125" style="94" bestFit="1" customWidth="1"/>
    <col min="4" max="4" width="8.42578125" style="94" customWidth="1"/>
    <col min="5" max="5" width="13.140625" style="94" customWidth="1"/>
    <col min="6" max="6" width="13.85546875" style="94" customWidth="1"/>
    <col min="7" max="7" width="14" style="94" customWidth="1"/>
    <col min="8" max="8" width="8.42578125" style="94" bestFit="1" customWidth="1"/>
    <col min="9" max="9" width="13.140625" style="94" bestFit="1" customWidth="1"/>
    <col min="10" max="10" width="14.7109375" style="94" bestFit="1" customWidth="1"/>
    <col min="11" max="11" width="14" style="94" bestFit="1" customWidth="1"/>
    <col min="12" max="12" width="8.42578125" style="94" bestFit="1" customWidth="1"/>
    <col min="13" max="13" width="13.140625" style="94" bestFit="1" customWidth="1"/>
    <col min="14" max="14" width="14.7109375" style="94" bestFit="1" customWidth="1"/>
    <col min="15" max="15" width="14" style="94" bestFit="1" customWidth="1"/>
    <col min="16" max="16" width="8.42578125" style="94" bestFit="1" customWidth="1"/>
    <col min="17" max="17" width="13.140625" style="94" bestFit="1" customWidth="1"/>
    <col min="18" max="18" width="14.7109375" style="94" bestFit="1" customWidth="1"/>
    <col min="19" max="16384" width="9.140625" style="94"/>
  </cols>
  <sheetData>
    <row r="2" spans="1:18" x14ac:dyDescent="0.2">
      <c r="D2" s="113" t="s">
        <v>43</v>
      </c>
      <c r="E2" s="114"/>
      <c r="F2" s="114"/>
      <c r="G2" s="115"/>
      <c r="H2" s="113" t="s">
        <v>255</v>
      </c>
      <c r="I2" s="114"/>
      <c r="J2" s="114"/>
      <c r="K2" s="115"/>
      <c r="L2" s="113" t="s">
        <v>259</v>
      </c>
      <c r="M2" s="114"/>
      <c r="N2" s="114"/>
      <c r="O2" s="115"/>
      <c r="P2" s="116" t="s">
        <v>46</v>
      </c>
      <c r="Q2" s="116"/>
      <c r="R2" s="116"/>
    </row>
    <row r="3" spans="1:18" x14ac:dyDescent="0.2">
      <c r="A3" s="77" t="s">
        <v>219</v>
      </c>
      <c r="B3" s="77" t="s">
        <v>220</v>
      </c>
      <c r="C3" s="77" t="s">
        <v>221</v>
      </c>
      <c r="D3" s="76" t="s">
        <v>47</v>
      </c>
      <c r="E3" s="76" t="s">
        <v>48</v>
      </c>
      <c r="F3" s="76" t="s">
        <v>256</v>
      </c>
      <c r="G3" s="76" t="s">
        <v>257</v>
      </c>
      <c r="H3" s="76" t="s">
        <v>47</v>
      </c>
      <c r="I3" s="76" t="s">
        <v>48</v>
      </c>
      <c r="J3" s="76" t="s">
        <v>49</v>
      </c>
      <c r="K3" s="76" t="s">
        <v>257</v>
      </c>
      <c r="L3" s="76" t="s">
        <v>47</v>
      </c>
      <c r="M3" s="76" t="s">
        <v>48</v>
      </c>
      <c r="N3" s="76" t="s">
        <v>49</v>
      </c>
      <c r="O3" s="76" t="s">
        <v>257</v>
      </c>
      <c r="P3" s="76" t="s">
        <v>47</v>
      </c>
      <c r="Q3" s="76" t="s">
        <v>48</v>
      </c>
      <c r="R3" s="76" t="s">
        <v>49</v>
      </c>
    </row>
    <row r="4" spans="1:18" hidden="1" x14ac:dyDescent="0.2">
      <c r="A4" s="79" t="s">
        <v>145</v>
      </c>
      <c r="B4" s="79" t="s">
        <v>145</v>
      </c>
      <c r="C4" s="79" t="s">
        <v>7</v>
      </c>
      <c r="D4" s="70">
        <v>0</v>
      </c>
      <c r="E4" s="70">
        <v>7.0000000000000007E-2</v>
      </c>
      <c r="F4" s="70">
        <v>0.27</v>
      </c>
      <c r="G4" s="70">
        <v>0.27</v>
      </c>
      <c r="H4" s="70">
        <v>0</v>
      </c>
      <c r="I4" s="70">
        <v>0</v>
      </c>
      <c r="J4" s="70">
        <v>0.25</v>
      </c>
      <c r="K4" s="70">
        <v>0.25</v>
      </c>
      <c r="L4" s="95">
        <v>0</v>
      </c>
      <c r="M4" s="95">
        <v>0</v>
      </c>
      <c r="N4" s="95">
        <v>0.25</v>
      </c>
      <c r="O4" s="95">
        <v>0.25</v>
      </c>
      <c r="P4" s="70">
        <v>0.28000000000000003</v>
      </c>
      <c r="Q4" s="70">
        <v>0.28000000000000003</v>
      </c>
      <c r="R4" s="70">
        <v>0.27999999999999992</v>
      </c>
    </row>
    <row r="5" spans="1:18" hidden="1" x14ac:dyDescent="0.2">
      <c r="A5" s="79" t="s">
        <v>146</v>
      </c>
      <c r="B5" s="79" t="s">
        <v>146</v>
      </c>
      <c r="C5" s="79" t="s">
        <v>10</v>
      </c>
      <c r="D5" s="70">
        <v>0.13</v>
      </c>
      <c r="E5" s="70">
        <v>0.23</v>
      </c>
      <c r="F5" s="70">
        <v>0.35</v>
      </c>
      <c r="G5" s="70">
        <v>0.35</v>
      </c>
      <c r="H5" s="70">
        <v>0.15</v>
      </c>
      <c r="I5" s="70">
        <v>0.2</v>
      </c>
      <c r="J5" s="81">
        <v>0.35</v>
      </c>
      <c r="K5" s="81">
        <v>0.35</v>
      </c>
      <c r="L5" s="95">
        <v>0</v>
      </c>
      <c r="M5" s="95">
        <v>0.25</v>
      </c>
      <c r="N5" s="95">
        <v>0.3</v>
      </c>
      <c r="O5" s="95">
        <v>0.3</v>
      </c>
      <c r="P5" s="70">
        <v>0.28000000000000003</v>
      </c>
      <c r="Q5" s="70">
        <v>0.28000000000000003</v>
      </c>
      <c r="R5" s="70">
        <v>0.27999999999999992</v>
      </c>
    </row>
    <row r="6" spans="1:18" hidden="1" x14ac:dyDescent="0.2">
      <c r="A6" s="79" t="s">
        <v>147</v>
      </c>
      <c r="B6" s="79" t="s">
        <v>147</v>
      </c>
      <c r="C6" s="79" t="s">
        <v>9</v>
      </c>
      <c r="D6" s="70">
        <v>0</v>
      </c>
      <c r="E6" s="70">
        <v>0</v>
      </c>
      <c r="F6" s="70">
        <v>0.2</v>
      </c>
      <c r="G6" s="70">
        <v>0.2</v>
      </c>
      <c r="H6" s="70">
        <v>0</v>
      </c>
      <c r="I6" s="70">
        <v>0</v>
      </c>
      <c r="J6" s="70">
        <v>0.15</v>
      </c>
      <c r="K6" s="70">
        <v>0.15</v>
      </c>
      <c r="L6" s="95">
        <v>0</v>
      </c>
      <c r="M6" s="95">
        <v>0</v>
      </c>
      <c r="N6" s="95">
        <v>0.18</v>
      </c>
      <c r="O6" s="95">
        <v>0.18</v>
      </c>
      <c r="P6" s="70">
        <v>0.28000000000000003</v>
      </c>
      <c r="Q6" s="70">
        <v>0.28000000000000003</v>
      </c>
      <c r="R6" s="70">
        <v>0.27999999999999992</v>
      </c>
    </row>
    <row r="7" spans="1:18" hidden="1" x14ac:dyDescent="0.2">
      <c r="A7" s="79" t="s">
        <v>147</v>
      </c>
      <c r="B7" s="79" t="s">
        <v>147</v>
      </c>
      <c r="C7" s="79" t="s">
        <v>9</v>
      </c>
      <c r="D7" s="70">
        <v>0</v>
      </c>
      <c r="E7" s="70">
        <v>0</v>
      </c>
      <c r="F7" s="70">
        <v>0.2</v>
      </c>
      <c r="G7" s="70">
        <v>0.2</v>
      </c>
      <c r="H7" s="70">
        <v>0</v>
      </c>
      <c r="I7" s="70">
        <v>0</v>
      </c>
      <c r="J7" s="70">
        <v>0.15</v>
      </c>
      <c r="K7" s="70">
        <v>0.15</v>
      </c>
      <c r="L7" s="95">
        <v>0</v>
      </c>
      <c r="M7" s="95">
        <v>0</v>
      </c>
      <c r="N7" s="95">
        <v>0.18</v>
      </c>
      <c r="O7" s="95">
        <v>0.18</v>
      </c>
      <c r="P7" s="70">
        <v>0.28000000000000003</v>
      </c>
      <c r="Q7" s="70">
        <v>0.28000000000000003</v>
      </c>
      <c r="R7" s="70">
        <v>0.27999999999999992</v>
      </c>
    </row>
    <row r="8" spans="1:18" hidden="1" x14ac:dyDescent="0.2">
      <c r="A8" s="79" t="s">
        <v>93</v>
      </c>
      <c r="B8" s="79" t="s">
        <v>93</v>
      </c>
      <c r="C8" s="79" t="s">
        <v>93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81">
        <v>0</v>
      </c>
      <c r="M8" s="81">
        <v>0</v>
      </c>
      <c r="N8" s="81">
        <v>0</v>
      </c>
      <c r="O8" s="81">
        <v>0</v>
      </c>
      <c r="P8" s="70">
        <v>0</v>
      </c>
      <c r="Q8" s="70">
        <v>0</v>
      </c>
      <c r="R8" s="70">
        <v>0</v>
      </c>
    </row>
    <row r="9" spans="1:18" hidden="1" x14ac:dyDescent="0.2">
      <c r="A9" s="79" t="s">
        <v>231</v>
      </c>
      <c r="B9" s="79" t="s">
        <v>148</v>
      </c>
      <c r="C9" s="79" t="s">
        <v>94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81">
        <v>0</v>
      </c>
      <c r="M9" s="81">
        <v>0</v>
      </c>
      <c r="N9" s="81">
        <v>0</v>
      </c>
      <c r="O9" s="81">
        <v>0</v>
      </c>
      <c r="P9" s="70">
        <v>0</v>
      </c>
      <c r="Q9" s="70">
        <v>0</v>
      </c>
      <c r="R9" s="70">
        <v>0</v>
      </c>
    </row>
    <row r="10" spans="1:18" hidden="1" x14ac:dyDescent="0.2">
      <c r="A10" s="79" t="s">
        <v>231</v>
      </c>
      <c r="B10" s="79" t="s">
        <v>149</v>
      </c>
      <c r="C10" s="79" t="s">
        <v>96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81">
        <v>0</v>
      </c>
      <c r="M10" s="81">
        <v>0</v>
      </c>
      <c r="N10" s="81">
        <v>0</v>
      </c>
      <c r="O10" s="81">
        <v>0</v>
      </c>
      <c r="P10" s="70">
        <v>0</v>
      </c>
      <c r="Q10" s="70">
        <v>0</v>
      </c>
      <c r="R10" s="70">
        <v>0</v>
      </c>
    </row>
    <row r="11" spans="1:18" hidden="1" x14ac:dyDescent="0.2">
      <c r="A11" s="79" t="s">
        <v>231</v>
      </c>
      <c r="B11" s="79" t="s">
        <v>150</v>
      </c>
      <c r="C11" s="79" t="s">
        <v>95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81">
        <v>0</v>
      </c>
      <c r="M11" s="81">
        <v>0</v>
      </c>
      <c r="N11" s="81">
        <v>0</v>
      </c>
      <c r="O11" s="81">
        <v>0</v>
      </c>
      <c r="P11" s="70">
        <v>0</v>
      </c>
      <c r="Q11" s="70">
        <v>0</v>
      </c>
      <c r="R11" s="70">
        <v>0</v>
      </c>
    </row>
    <row r="12" spans="1:18" hidden="1" x14ac:dyDescent="0.2">
      <c r="A12" s="79" t="s">
        <v>97</v>
      </c>
      <c r="B12" s="79" t="s">
        <v>97</v>
      </c>
      <c r="C12" s="79" t="s">
        <v>97</v>
      </c>
      <c r="D12" s="70">
        <v>0.2</v>
      </c>
      <c r="E12" s="70">
        <v>0.27</v>
      </c>
      <c r="F12" s="70">
        <v>0.43</v>
      </c>
      <c r="G12" s="70">
        <v>0.43</v>
      </c>
      <c r="H12" s="70">
        <v>0.2</v>
      </c>
      <c r="I12" s="70">
        <v>0.25</v>
      </c>
      <c r="J12" s="70">
        <v>0.43</v>
      </c>
      <c r="K12" s="70">
        <v>0.43</v>
      </c>
      <c r="L12" s="95">
        <v>0.13</v>
      </c>
      <c r="M12" s="95">
        <v>0.28000000000000003</v>
      </c>
      <c r="N12" s="95">
        <v>0.35</v>
      </c>
      <c r="O12" s="95">
        <v>0.35</v>
      </c>
      <c r="P12" s="81">
        <v>0.53</v>
      </c>
      <c r="Q12" s="81">
        <v>0.53</v>
      </c>
      <c r="R12" s="81">
        <v>0.53</v>
      </c>
    </row>
    <row r="13" spans="1:18" hidden="1" x14ac:dyDescent="0.2">
      <c r="A13" s="79" t="s">
        <v>62</v>
      </c>
      <c r="B13" s="79" t="s">
        <v>62</v>
      </c>
      <c r="C13" s="79" t="s">
        <v>80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81">
        <v>0</v>
      </c>
      <c r="M13" s="81">
        <v>0</v>
      </c>
      <c r="N13" s="81">
        <v>0</v>
      </c>
      <c r="O13" s="81">
        <v>0</v>
      </c>
      <c r="P13" s="70">
        <v>0</v>
      </c>
      <c r="Q13" s="70">
        <v>0</v>
      </c>
      <c r="R13" s="70">
        <v>0</v>
      </c>
    </row>
    <row r="14" spans="1:18" hidden="1" x14ac:dyDescent="0.2">
      <c r="A14" s="79" t="s">
        <v>232</v>
      </c>
      <c r="B14" s="79" t="s">
        <v>151</v>
      </c>
      <c r="C14" s="79" t="s">
        <v>109</v>
      </c>
      <c r="D14" s="70">
        <v>0</v>
      </c>
      <c r="E14" s="70">
        <v>0</v>
      </c>
      <c r="F14" s="70">
        <v>0</v>
      </c>
      <c r="G14" s="81">
        <v>0.35</v>
      </c>
      <c r="H14" s="70">
        <v>0</v>
      </c>
      <c r="I14" s="70">
        <v>0</v>
      </c>
      <c r="J14" s="70">
        <v>0</v>
      </c>
      <c r="K14" s="70">
        <v>0</v>
      </c>
      <c r="L14" s="81">
        <v>0</v>
      </c>
      <c r="M14" s="81">
        <v>0</v>
      </c>
      <c r="N14" s="81">
        <v>0</v>
      </c>
      <c r="O14" s="81">
        <v>0</v>
      </c>
      <c r="P14" s="70">
        <v>0</v>
      </c>
      <c r="Q14" s="70">
        <v>0</v>
      </c>
      <c r="R14" s="70">
        <v>0</v>
      </c>
    </row>
    <row r="15" spans="1:18" hidden="1" x14ac:dyDescent="0.2">
      <c r="A15" s="79" t="s">
        <v>232</v>
      </c>
      <c r="B15" s="79" t="s">
        <v>152</v>
      </c>
      <c r="C15" s="79" t="s">
        <v>110</v>
      </c>
      <c r="D15" s="70">
        <v>0</v>
      </c>
      <c r="E15" s="70">
        <v>0</v>
      </c>
      <c r="F15" s="70">
        <v>0</v>
      </c>
      <c r="G15" s="81">
        <v>0.35</v>
      </c>
      <c r="H15" s="70">
        <v>0</v>
      </c>
      <c r="I15" s="70">
        <v>0</v>
      </c>
      <c r="J15" s="70">
        <v>0</v>
      </c>
      <c r="K15" s="70">
        <v>0</v>
      </c>
      <c r="L15" s="81">
        <v>0</v>
      </c>
      <c r="M15" s="81">
        <v>0</v>
      </c>
      <c r="N15" s="81">
        <v>0</v>
      </c>
      <c r="O15" s="81">
        <v>0</v>
      </c>
      <c r="P15" s="70">
        <v>0</v>
      </c>
      <c r="Q15" s="70">
        <v>0</v>
      </c>
      <c r="R15" s="70">
        <v>0</v>
      </c>
    </row>
    <row r="16" spans="1:18" hidden="1" x14ac:dyDescent="0.2">
      <c r="A16" s="79" t="s">
        <v>81</v>
      </c>
      <c r="B16" s="79" t="s">
        <v>81</v>
      </c>
      <c r="C16" s="79" t="s">
        <v>81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70">
        <v>0</v>
      </c>
      <c r="J16" s="70">
        <v>0</v>
      </c>
      <c r="K16" s="70">
        <v>0</v>
      </c>
      <c r="L16" s="81">
        <v>0</v>
      </c>
      <c r="M16" s="81">
        <v>0</v>
      </c>
      <c r="N16" s="81">
        <v>0</v>
      </c>
      <c r="O16" s="81">
        <v>0</v>
      </c>
      <c r="P16" s="70">
        <v>0</v>
      </c>
      <c r="Q16" s="70">
        <v>0</v>
      </c>
      <c r="R16" s="70">
        <v>0</v>
      </c>
    </row>
    <row r="17" spans="1:18" x14ac:dyDescent="0.2">
      <c r="A17" s="79" t="s">
        <v>52</v>
      </c>
      <c r="B17" s="79" t="s">
        <v>52</v>
      </c>
      <c r="C17" s="79" t="s">
        <v>52</v>
      </c>
      <c r="D17" s="70">
        <v>0.3</v>
      </c>
      <c r="E17" s="70">
        <v>0.35</v>
      </c>
      <c r="F17" s="81">
        <v>0.35</v>
      </c>
      <c r="G17" s="81">
        <v>0.35</v>
      </c>
      <c r="H17" s="70">
        <v>0.2</v>
      </c>
      <c r="I17" s="70">
        <v>0.25</v>
      </c>
      <c r="J17" s="81">
        <v>0.35</v>
      </c>
      <c r="K17" s="81">
        <v>0.35</v>
      </c>
      <c r="L17" s="95">
        <v>0.31</v>
      </c>
      <c r="M17" s="95">
        <v>0.31</v>
      </c>
      <c r="N17" s="95">
        <v>0.31</v>
      </c>
      <c r="O17" s="95">
        <v>0.31</v>
      </c>
      <c r="P17" s="70">
        <v>0</v>
      </c>
      <c r="Q17" s="70">
        <v>0</v>
      </c>
      <c r="R17" s="70">
        <v>0</v>
      </c>
    </row>
    <row r="18" spans="1:18" hidden="1" x14ac:dyDescent="0.2">
      <c r="A18" s="79" t="s">
        <v>153</v>
      </c>
      <c r="B18" s="79" t="s">
        <v>153</v>
      </c>
      <c r="C18" s="79" t="s">
        <v>113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81">
        <v>0</v>
      </c>
      <c r="M18" s="81">
        <v>0</v>
      </c>
      <c r="N18" s="81">
        <v>0</v>
      </c>
      <c r="O18" s="81">
        <v>0</v>
      </c>
      <c r="P18" s="70">
        <v>0</v>
      </c>
      <c r="Q18" s="70">
        <v>0</v>
      </c>
      <c r="R18" s="70">
        <v>0</v>
      </c>
    </row>
    <row r="19" spans="1:18" hidden="1" x14ac:dyDescent="0.2">
      <c r="A19" s="79" t="s">
        <v>233</v>
      </c>
      <c r="B19" s="79" t="s">
        <v>154</v>
      </c>
      <c r="C19" s="79" t="s">
        <v>116</v>
      </c>
      <c r="D19" s="70">
        <v>0.1</v>
      </c>
      <c r="E19" s="81">
        <v>0.1</v>
      </c>
      <c r="F19" s="70">
        <v>0.35</v>
      </c>
      <c r="G19" s="70">
        <v>0.35</v>
      </c>
      <c r="H19" s="70">
        <v>0.05</v>
      </c>
      <c r="I19" s="70">
        <v>0.1</v>
      </c>
      <c r="J19" s="70">
        <v>0.32</v>
      </c>
      <c r="K19" s="70">
        <v>0.32</v>
      </c>
      <c r="L19" s="95">
        <v>0</v>
      </c>
      <c r="M19" s="95">
        <v>0.15</v>
      </c>
      <c r="N19" s="95">
        <v>0.28999999999999998</v>
      </c>
      <c r="O19" s="95">
        <v>0.28999999999999998</v>
      </c>
      <c r="P19" s="70">
        <v>0</v>
      </c>
      <c r="Q19" s="70">
        <v>0</v>
      </c>
      <c r="R19" s="70">
        <v>0</v>
      </c>
    </row>
    <row r="20" spans="1:18" hidden="1" x14ac:dyDescent="0.2">
      <c r="A20" s="79" t="s">
        <v>233</v>
      </c>
      <c r="B20" s="79" t="s">
        <v>155</v>
      </c>
      <c r="C20" s="79" t="s">
        <v>114</v>
      </c>
      <c r="D20" s="70">
        <v>0.1</v>
      </c>
      <c r="E20" s="81">
        <v>0.1</v>
      </c>
      <c r="F20" s="70">
        <v>0.35</v>
      </c>
      <c r="G20" s="70">
        <v>0.35</v>
      </c>
      <c r="H20" s="70">
        <v>0.05</v>
      </c>
      <c r="I20" s="70">
        <v>0.1</v>
      </c>
      <c r="J20" s="70">
        <v>0.32</v>
      </c>
      <c r="K20" s="70">
        <v>0.32</v>
      </c>
      <c r="L20" s="95">
        <v>0</v>
      </c>
      <c r="M20" s="95">
        <v>0.15</v>
      </c>
      <c r="N20" s="95">
        <v>0.28999999999999998</v>
      </c>
      <c r="O20" s="95">
        <v>0.28999999999999998</v>
      </c>
      <c r="P20" s="70">
        <v>0</v>
      </c>
      <c r="Q20" s="70">
        <v>0</v>
      </c>
      <c r="R20" s="70">
        <v>0</v>
      </c>
    </row>
    <row r="21" spans="1:18" hidden="1" x14ac:dyDescent="0.2">
      <c r="A21" s="79" t="s">
        <v>233</v>
      </c>
      <c r="B21" s="79" t="s">
        <v>157</v>
      </c>
      <c r="C21" s="79" t="s">
        <v>115</v>
      </c>
      <c r="D21" s="70">
        <v>0.1</v>
      </c>
      <c r="E21" s="81">
        <v>0.1</v>
      </c>
      <c r="F21" s="70">
        <v>0.35</v>
      </c>
      <c r="G21" s="70">
        <v>0.35</v>
      </c>
      <c r="H21" s="70">
        <v>0.05</v>
      </c>
      <c r="I21" s="70">
        <v>0.1</v>
      </c>
      <c r="J21" s="70">
        <v>0.32</v>
      </c>
      <c r="K21" s="70">
        <v>0.32</v>
      </c>
      <c r="L21" s="95">
        <v>0</v>
      </c>
      <c r="M21" s="95">
        <v>0.15</v>
      </c>
      <c r="N21" s="95">
        <v>0.28999999999999998</v>
      </c>
      <c r="O21" s="95">
        <v>0.28999999999999998</v>
      </c>
      <c r="P21" s="70">
        <v>0</v>
      </c>
      <c r="Q21" s="70">
        <v>0</v>
      </c>
      <c r="R21" s="70">
        <v>0</v>
      </c>
    </row>
    <row r="22" spans="1:18" hidden="1" x14ac:dyDescent="0.2">
      <c r="A22" s="79" t="s">
        <v>234</v>
      </c>
      <c r="B22" s="79" t="s">
        <v>156</v>
      </c>
      <c r="C22" s="79" t="s">
        <v>114</v>
      </c>
      <c r="D22" s="70">
        <v>0</v>
      </c>
      <c r="E22" s="70">
        <v>0</v>
      </c>
      <c r="F22" s="70">
        <v>0.2</v>
      </c>
      <c r="G22" s="70">
        <v>0.2</v>
      </c>
      <c r="H22" s="70">
        <v>0</v>
      </c>
      <c r="I22" s="70">
        <v>0</v>
      </c>
      <c r="J22" s="70">
        <v>0.19</v>
      </c>
      <c r="K22" s="70">
        <v>0.19</v>
      </c>
      <c r="L22" s="95">
        <v>0</v>
      </c>
      <c r="M22" s="95">
        <v>0</v>
      </c>
      <c r="N22" s="95">
        <v>0.17</v>
      </c>
      <c r="O22" s="95">
        <v>0.17</v>
      </c>
      <c r="P22" s="70">
        <v>0</v>
      </c>
      <c r="Q22" s="70">
        <v>0</v>
      </c>
      <c r="R22" s="70">
        <v>0</v>
      </c>
    </row>
    <row r="23" spans="1:18" hidden="1" x14ac:dyDescent="0.2">
      <c r="A23" s="79" t="s">
        <v>235</v>
      </c>
      <c r="B23" s="79" t="s">
        <v>158</v>
      </c>
      <c r="C23" s="79" t="s">
        <v>64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81">
        <v>0</v>
      </c>
      <c r="M23" s="81">
        <v>0</v>
      </c>
      <c r="N23" s="81">
        <v>0</v>
      </c>
      <c r="O23" s="81">
        <v>0</v>
      </c>
      <c r="P23" s="70">
        <v>0</v>
      </c>
      <c r="Q23" s="70">
        <v>0</v>
      </c>
      <c r="R23" s="70">
        <v>0</v>
      </c>
    </row>
    <row r="24" spans="1:18" hidden="1" x14ac:dyDescent="0.2">
      <c r="A24" s="79" t="s">
        <v>236</v>
      </c>
      <c r="B24" s="79" t="s">
        <v>159</v>
      </c>
      <c r="C24" s="79" t="s">
        <v>65</v>
      </c>
      <c r="D24" s="70">
        <v>0.2</v>
      </c>
      <c r="E24" s="70">
        <v>0.32</v>
      </c>
      <c r="F24" s="70">
        <v>0.32</v>
      </c>
      <c r="G24" s="70">
        <v>0.32</v>
      </c>
      <c r="H24" s="70">
        <v>0.2</v>
      </c>
      <c r="I24" s="70">
        <v>0.32</v>
      </c>
      <c r="J24" s="70">
        <v>0.32</v>
      </c>
      <c r="K24" s="70">
        <v>0.32</v>
      </c>
      <c r="L24" s="95">
        <v>0.18</v>
      </c>
      <c r="M24" s="95">
        <v>0.32</v>
      </c>
      <c r="N24" s="95">
        <v>0.32</v>
      </c>
      <c r="O24" s="95">
        <v>0.32</v>
      </c>
      <c r="P24" s="70">
        <v>0</v>
      </c>
      <c r="Q24" s="70">
        <v>0</v>
      </c>
      <c r="R24" s="70">
        <v>0</v>
      </c>
    </row>
    <row r="25" spans="1:18" hidden="1" x14ac:dyDescent="0.2">
      <c r="A25" s="79" t="s">
        <v>236</v>
      </c>
      <c r="B25" s="79" t="s">
        <v>160</v>
      </c>
      <c r="C25" s="79" t="s">
        <v>66</v>
      </c>
      <c r="D25" s="70">
        <v>0.2</v>
      </c>
      <c r="E25" s="70">
        <v>0.32</v>
      </c>
      <c r="F25" s="70">
        <v>0.32</v>
      </c>
      <c r="G25" s="70">
        <v>0.32</v>
      </c>
      <c r="H25" s="70">
        <v>0.2</v>
      </c>
      <c r="I25" s="70">
        <v>0.32</v>
      </c>
      <c r="J25" s="70">
        <v>0.32</v>
      </c>
      <c r="K25" s="70">
        <v>0.32</v>
      </c>
      <c r="L25" s="95">
        <v>0.18</v>
      </c>
      <c r="M25" s="95">
        <v>0.32</v>
      </c>
      <c r="N25" s="95">
        <v>0.32</v>
      </c>
      <c r="O25" s="95">
        <v>0.32</v>
      </c>
      <c r="P25" s="70">
        <v>0</v>
      </c>
      <c r="Q25" s="70">
        <v>0</v>
      </c>
      <c r="R25" s="70">
        <v>0</v>
      </c>
    </row>
    <row r="26" spans="1:18" hidden="1" x14ac:dyDescent="0.2">
      <c r="A26" s="79" t="s">
        <v>82</v>
      </c>
      <c r="B26" s="79" t="s">
        <v>161</v>
      </c>
      <c r="C26" s="79" t="s">
        <v>67</v>
      </c>
      <c r="D26" s="70">
        <v>0.2</v>
      </c>
      <c r="E26" s="70">
        <v>0.33</v>
      </c>
      <c r="F26" s="70">
        <v>0.33</v>
      </c>
      <c r="G26" s="70">
        <v>0.33</v>
      </c>
      <c r="H26" s="70">
        <v>0.2</v>
      </c>
      <c r="I26" s="70">
        <v>0.32</v>
      </c>
      <c r="J26" s="70">
        <v>0.33</v>
      </c>
      <c r="K26" s="70">
        <v>0.33</v>
      </c>
      <c r="L26" s="95">
        <v>0.17</v>
      </c>
      <c r="M26" s="95">
        <v>0.31</v>
      </c>
      <c r="N26" s="95">
        <v>0.32</v>
      </c>
      <c r="O26" s="95">
        <v>0.32</v>
      </c>
      <c r="P26" s="70">
        <v>0</v>
      </c>
      <c r="Q26" s="70">
        <v>0</v>
      </c>
      <c r="R26" s="70">
        <v>0</v>
      </c>
    </row>
    <row r="27" spans="1:18" hidden="1" x14ac:dyDescent="0.2">
      <c r="A27" s="79" t="s">
        <v>82</v>
      </c>
      <c r="B27" s="79" t="s">
        <v>162</v>
      </c>
      <c r="C27" s="79" t="s">
        <v>68</v>
      </c>
      <c r="D27" s="70">
        <v>0.2</v>
      </c>
      <c r="E27" s="70">
        <v>0.33</v>
      </c>
      <c r="F27" s="70">
        <v>0.33</v>
      </c>
      <c r="G27" s="70">
        <v>0.33</v>
      </c>
      <c r="H27" s="70">
        <v>0.2</v>
      </c>
      <c r="I27" s="70">
        <v>0.32</v>
      </c>
      <c r="J27" s="70">
        <v>0.33</v>
      </c>
      <c r="K27" s="70">
        <v>0.33</v>
      </c>
      <c r="L27" s="95">
        <v>0.17</v>
      </c>
      <c r="M27" s="95">
        <v>0.31</v>
      </c>
      <c r="N27" s="95">
        <v>0.32</v>
      </c>
      <c r="O27" s="95">
        <v>0.32</v>
      </c>
      <c r="P27" s="70">
        <v>0</v>
      </c>
      <c r="Q27" s="70">
        <v>0</v>
      </c>
      <c r="R27" s="70">
        <v>0</v>
      </c>
    </row>
    <row r="28" spans="1:18" hidden="1" x14ac:dyDescent="0.2">
      <c r="A28" s="79" t="s">
        <v>98</v>
      </c>
      <c r="B28" s="79" t="s">
        <v>98</v>
      </c>
      <c r="C28" s="79" t="s">
        <v>98</v>
      </c>
      <c r="D28" s="70">
        <v>0.2</v>
      </c>
      <c r="E28" s="70">
        <v>0.3</v>
      </c>
      <c r="F28" s="70">
        <v>0.38</v>
      </c>
      <c r="G28" s="70">
        <v>0.38</v>
      </c>
      <c r="H28" s="70">
        <v>0.19600000000000006</v>
      </c>
      <c r="I28" s="70">
        <v>0.3</v>
      </c>
      <c r="J28" s="70">
        <v>0.38</v>
      </c>
      <c r="K28" s="70">
        <v>0.38</v>
      </c>
      <c r="L28" s="95">
        <v>0.17</v>
      </c>
      <c r="M28" s="95">
        <v>0.31</v>
      </c>
      <c r="N28" s="95">
        <v>0.35</v>
      </c>
      <c r="O28" s="95">
        <v>0.35</v>
      </c>
      <c r="P28" s="70">
        <v>0.41499999999999992</v>
      </c>
      <c r="Q28" s="70">
        <v>0.41499999999999992</v>
      </c>
      <c r="R28" s="70">
        <v>0.41949999999999987</v>
      </c>
    </row>
    <row r="29" spans="1:18" hidden="1" x14ac:dyDescent="0.2">
      <c r="A29" s="79" t="s">
        <v>237</v>
      </c>
      <c r="B29" s="79" t="s">
        <v>163</v>
      </c>
      <c r="C29" s="79" t="s">
        <v>11</v>
      </c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81">
        <v>0</v>
      </c>
      <c r="M29" s="81">
        <v>0</v>
      </c>
      <c r="N29" s="81">
        <v>0</v>
      </c>
      <c r="O29" s="81">
        <v>0</v>
      </c>
      <c r="P29" s="70">
        <v>0</v>
      </c>
      <c r="Q29" s="70">
        <v>0</v>
      </c>
      <c r="R29" s="70">
        <v>0</v>
      </c>
    </row>
    <row r="30" spans="1:18" hidden="1" x14ac:dyDescent="0.2">
      <c r="A30" s="79" t="s">
        <v>237</v>
      </c>
      <c r="B30" s="79" t="s">
        <v>164</v>
      </c>
      <c r="C30" s="79" t="s">
        <v>13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81">
        <v>0</v>
      </c>
      <c r="M30" s="81">
        <v>0</v>
      </c>
      <c r="N30" s="81">
        <v>0</v>
      </c>
      <c r="O30" s="81">
        <v>0</v>
      </c>
      <c r="P30" s="70">
        <v>0</v>
      </c>
      <c r="Q30" s="70">
        <v>0</v>
      </c>
      <c r="R30" s="70">
        <v>0</v>
      </c>
    </row>
    <row r="31" spans="1:18" hidden="1" x14ac:dyDescent="0.2">
      <c r="A31" s="79" t="s">
        <v>237</v>
      </c>
      <c r="B31" s="79" t="s">
        <v>165</v>
      </c>
      <c r="C31" s="79" t="s">
        <v>12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81">
        <v>0</v>
      </c>
      <c r="M31" s="81">
        <v>0</v>
      </c>
      <c r="N31" s="81">
        <v>0</v>
      </c>
      <c r="O31" s="81">
        <v>0</v>
      </c>
      <c r="P31" s="70">
        <v>0</v>
      </c>
      <c r="Q31" s="70">
        <v>0</v>
      </c>
      <c r="R31" s="70">
        <v>0</v>
      </c>
    </row>
    <row r="32" spans="1:18" hidden="1" x14ac:dyDescent="0.2">
      <c r="A32" s="79" t="s">
        <v>237</v>
      </c>
      <c r="B32" s="79" t="s">
        <v>166</v>
      </c>
      <c r="C32" s="79" t="s">
        <v>13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81">
        <v>0</v>
      </c>
      <c r="M32" s="81">
        <v>0</v>
      </c>
      <c r="N32" s="81">
        <v>0</v>
      </c>
      <c r="O32" s="81">
        <v>0</v>
      </c>
      <c r="P32" s="70">
        <v>0</v>
      </c>
      <c r="Q32" s="70">
        <v>0</v>
      </c>
      <c r="R32" s="70">
        <v>0</v>
      </c>
    </row>
    <row r="33" spans="1:18" hidden="1" x14ac:dyDescent="0.2">
      <c r="A33" s="79" t="s">
        <v>238</v>
      </c>
      <c r="B33" s="79" t="s">
        <v>167</v>
      </c>
      <c r="C33" s="79" t="s">
        <v>14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81">
        <v>0</v>
      </c>
      <c r="M33" s="81">
        <v>0</v>
      </c>
      <c r="N33" s="81">
        <v>0</v>
      </c>
      <c r="O33" s="81">
        <v>0</v>
      </c>
      <c r="P33" s="70">
        <v>0</v>
      </c>
      <c r="Q33" s="70">
        <v>0</v>
      </c>
      <c r="R33" s="70">
        <v>0</v>
      </c>
    </row>
    <row r="34" spans="1:18" hidden="1" x14ac:dyDescent="0.2">
      <c r="A34" s="79" t="s">
        <v>238</v>
      </c>
      <c r="B34" s="79" t="s">
        <v>168</v>
      </c>
      <c r="C34" s="79" t="s">
        <v>15</v>
      </c>
      <c r="D34" s="70">
        <v>0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81">
        <v>0</v>
      </c>
      <c r="M34" s="81">
        <v>0</v>
      </c>
      <c r="N34" s="81">
        <v>0</v>
      </c>
      <c r="O34" s="81">
        <v>0</v>
      </c>
      <c r="P34" s="70">
        <v>0</v>
      </c>
      <c r="Q34" s="70">
        <v>0</v>
      </c>
      <c r="R34" s="70">
        <v>0</v>
      </c>
    </row>
    <row r="35" spans="1:18" hidden="1" x14ac:dyDescent="0.2">
      <c r="A35" s="79" t="s">
        <v>238</v>
      </c>
      <c r="B35" s="79" t="s">
        <v>169</v>
      </c>
      <c r="C35" s="79" t="s">
        <v>16</v>
      </c>
      <c r="D35" s="70">
        <v>0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0</v>
      </c>
      <c r="K35" s="70">
        <v>0</v>
      </c>
      <c r="L35" s="81">
        <v>0</v>
      </c>
      <c r="M35" s="81">
        <v>0</v>
      </c>
      <c r="N35" s="81">
        <v>0</v>
      </c>
      <c r="O35" s="81">
        <v>0</v>
      </c>
      <c r="P35" s="70">
        <v>0</v>
      </c>
      <c r="Q35" s="70">
        <v>0</v>
      </c>
      <c r="R35" s="70">
        <v>0</v>
      </c>
    </row>
    <row r="36" spans="1:18" hidden="1" x14ac:dyDescent="0.2">
      <c r="A36" s="79" t="s">
        <v>238</v>
      </c>
      <c r="B36" s="79" t="s">
        <v>170</v>
      </c>
      <c r="C36" s="79" t="s">
        <v>16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81">
        <v>0</v>
      </c>
      <c r="M36" s="81">
        <v>0</v>
      </c>
      <c r="N36" s="81">
        <v>0</v>
      </c>
      <c r="O36" s="81">
        <v>0</v>
      </c>
      <c r="P36" s="70">
        <v>0</v>
      </c>
      <c r="Q36" s="70">
        <v>0</v>
      </c>
      <c r="R36" s="70">
        <v>0</v>
      </c>
    </row>
    <row r="37" spans="1:18" hidden="1" x14ac:dyDescent="0.2">
      <c r="A37" s="79" t="s">
        <v>54</v>
      </c>
      <c r="B37" s="79" t="s">
        <v>171</v>
      </c>
      <c r="C37" s="79" t="s">
        <v>53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81">
        <v>0</v>
      </c>
      <c r="M37" s="81">
        <v>0</v>
      </c>
      <c r="N37" s="81">
        <v>0</v>
      </c>
      <c r="O37" s="81">
        <v>0</v>
      </c>
      <c r="P37" s="70">
        <v>0</v>
      </c>
      <c r="Q37" s="70">
        <v>0</v>
      </c>
      <c r="R37" s="70">
        <v>0</v>
      </c>
    </row>
    <row r="38" spans="1:18" hidden="1" x14ac:dyDescent="0.2">
      <c r="A38" s="79" t="s">
        <v>54</v>
      </c>
      <c r="B38" s="79" t="s">
        <v>172</v>
      </c>
      <c r="C38" s="79" t="s">
        <v>55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81">
        <v>0</v>
      </c>
      <c r="M38" s="81">
        <v>0</v>
      </c>
      <c r="N38" s="81">
        <v>0</v>
      </c>
      <c r="O38" s="81">
        <v>0</v>
      </c>
      <c r="P38" s="70">
        <v>0</v>
      </c>
      <c r="Q38" s="70">
        <v>0</v>
      </c>
      <c r="R38" s="70">
        <v>0</v>
      </c>
    </row>
    <row r="39" spans="1:18" hidden="1" x14ac:dyDescent="0.2">
      <c r="A39" s="79" t="s">
        <v>54</v>
      </c>
      <c r="B39" s="79" t="s">
        <v>173</v>
      </c>
      <c r="C39" s="79" t="s">
        <v>56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81">
        <v>0</v>
      </c>
      <c r="M39" s="81">
        <v>0</v>
      </c>
      <c r="N39" s="81">
        <v>0</v>
      </c>
      <c r="O39" s="81">
        <v>0</v>
      </c>
      <c r="P39" s="70">
        <v>0</v>
      </c>
      <c r="Q39" s="70">
        <v>0</v>
      </c>
      <c r="R39" s="70">
        <v>0</v>
      </c>
    </row>
    <row r="40" spans="1:18" x14ac:dyDescent="0.2">
      <c r="A40" s="79" t="s">
        <v>239</v>
      </c>
      <c r="B40" s="79" t="s">
        <v>174</v>
      </c>
      <c r="C40" s="79" t="s">
        <v>57</v>
      </c>
      <c r="D40" s="70">
        <v>0.25</v>
      </c>
      <c r="E40" s="70">
        <v>0.35</v>
      </c>
      <c r="F40" s="70">
        <v>0.35</v>
      </c>
      <c r="G40" s="70">
        <v>0.35</v>
      </c>
      <c r="H40" s="70">
        <v>0.2</v>
      </c>
      <c r="I40" s="70">
        <v>0.35</v>
      </c>
      <c r="J40" s="96">
        <v>0.38500000000000001</v>
      </c>
      <c r="K40" s="96">
        <v>0.38500000000000001</v>
      </c>
      <c r="L40" s="95">
        <v>0.22</v>
      </c>
      <c r="M40" s="95">
        <v>0.35</v>
      </c>
      <c r="N40" s="95">
        <v>0.35</v>
      </c>
      <c r="O40" s="95">
        <v>0.35</v>
      </c>
      <c r="P40" s="70">
        <v>0.50499999999999989</v>
      </c>
      <c r="Q40" s="70">
        <v>0.50499999999999989</v>
      </c>
      <c r="R40" s="70">
        <v>0.51249999999999996</v>
      </c>
    </row>
    <row r="41" spans="1:18" x14ac:dyDescent="0.2">
      <c r="A41" s="79" t="s">
        <v>239</v>
      </c>
      <c r="B41" s="79" t="s">
        <v>175</v>
      </c>
      <c r="C41" s="79" t="s">
        <v>61</v>
      </c>
      <c r="D41" s="70">
        <v>0.25</v>
      </c>
      <c r="E41" s="70">
        <v>0.35</v>
      </c>
      <c r="F41" s="70">
        <v>0.35</v>
      </c>
      <c r="G41" s="70">
        <v>0.35</v>
      </c>
      <c r="H41" s="70">
        <v>0.2</v>
      </c>
      <c r="I41" s="70">
        <v>0.35</v>
      </c>
      <c r="J41" s="96">
        <v>0.38500000000000001</v>
      </c>
      <c r="K41" s="96">
        <v>0.38500000000000001</v>
      </c>
      <c r="L41" s="95">
        <v>0.22</v>
      </c>
      <c r="M41" s="95">
        <v>0.35</v>
      </c>
      <c r="N41" s="95">
        <v>0.35</v>
      </c>
      <c r="O41" s="95">
        <v>0.35</v>
      </c>
      <c r="P41" s="70">
        <v>0.50499999999999989</v>
      </c>
      <c r="Q41" s="70">
        <v>0.50499999999999989</v>
      </c>
      <c r="R41" s="70">
        <v>0.51249999999999996</v>
      </c>
    </row>
    <row r="42" spans="1:18" x14ac:dyDescent="0.2">
      <c r="A42" s="79" t="s">
        <v>240</v>
      </c>
      <c r="B42" s="79" t="s">
        <v>176</v>
      </c>
      <c r="C42" s="79" t="s">
        <v>59</v>
      </c>
      <c r="D42" s="70">
        <v>0.1</v>
      </c>
      <c r="E42" s="70">
        <v>0.19</v>
      </c>
      <c r="F42" s="70">
        <v>0.35</v>
      </c>
      <c r="G42" s="70">
        <v>0.35</v>
      </c>
      <c r="H42" s="70">
        <v>0.1</v>
      </c>
      <c r="I42" s="70">
        <v>0.18</v>
      </c>
      <c r="J42" s="70">
        <v>0.35</v>
      </c>
      <c r="K42" s="70">
        <v>0.35</v>
      </c>
      <c r="L42" s="95">
        <v>0</v>
      </c>
      <c r="M42" s="95">
        <v>0.2</v>
      </c>
      <c r="N42" s="95">
        <v>0.31</v>
      </c>
      <c r="O42" s="95">
        <v>0.31</v>
      </c>
      <c r="P42" s="70">
        <v>0.50499999999999989</v>
      </c>
      <c r="Q42" s="70">
        <v>0.50499999999999989</v>
      </c>
      <c r="R42" s="70">
        <v>0.51249999999999996</v>
      </c>
    </row>
    <row r="43" spans="1:18" x14ac:dyDescent="0.2">
      <c r="A43" s="79" t="s">
        <v>239</v>
      </c>
      <c r="B43" s="79" t="s">
        <v>177</v>
      </c>
      <c r="C43" s="79" t="s">
        <v>60</v>
      </c>
      <c r="D43" s="70">
        <v>0.25</v>
      </c>
      <c r="E43" s="70">
        <v>0.35</v>
      </c>
      <c r="F43" s="70">
        <v>0.35</v>
      </c>
      <c r="G43" s="70">
        <v>0.35</v>
      </c>
      <c r="H43" s="70">
        <v>0.2</v>
      </c>
      <c r="I43" s="70">
        <v>0.35</v>
      </c>
      <c r="J43" s="96">
        <v>0.38500000000000001</v>
      </c>
      <c r="K43" s="96">
        <v>0.38500000000000001</v>
      </c>
      <c r="L43" s="95">
        <v>0.22</v>
      </c>
      <c r="M43" s="95">
        <v>0.35</v>
      </c>
      <c r="N43" s="95">
        <v>0.35</v>
      </c>
      <c r="O43" s="95">
        <v>0.35</v>
      </c>
      <c r="P43" s="70">
        <v>0.50499999999999989</v>
      </c>
      <c r="Q43" s="70">
        <v>0.50499999999999989</v>
      </c>
      <c r="R43" s="70">
        <v>0.51249999999999996</v>
      </c>
    </row>
    <row r="44" spans="1:18" x14ac:dyDescent="0.2">
      <c r="A44" s="79" t="s">
        <v>241</v>
      </c>
      <c r="B44" s="79" t="s">
        <v>178</v>
      </c>
      <c r="C44" s="79" t="s">
        <v>60</v>
      </c>
      <c r="D44" s="70">
        <v>0.1</v>
      </c>
      <c r="E44" s="70">
        <v>0.19</v>
      </c>
      <c r="F44" s="70">
        <v>0.33</v>
      </c>
      <c r="G44" s="70">
        <v>0.33</v>
      </c>
      <c r="H44" s="70">
        <v>0.1</v>
      </c>
      <c r="I44" s="70">
        <v>0.18</v>
      </c>
      <c r="J44" s="70">
        <v>0.35</v>
      </c>
      <c r="K44" s="70">
        <v>0.35</v>
      </c>
      <c r="L44" s="95">
        <v>0</v>
      </c>
      <c r="M44" s="95">
        <v>0.2</v>
      </c>
      <c r="N44" s="95">
        <v>0.31</v>
      </c>
      <c r="O44" s="95">
        <v>0.31</v>
      </c>
      <c r="P44" s="70">
        <v>0.50499999999999989</v>
      </c>
      <c r="Q44" s="70">
        <v>0.50499999999999989</v>
      </c>
      <c r="R44" s="70">
        <v>0.51249999999999996</v>
      </c>
    </row>
    <row r="45" spans="1:18" x14ac:dyDescent="0.2">
      <c r="A45" s="79" t="s">
        <v>241</v>
      </c>
      <c r="B45" s="79" t="s">
        <v>179</v>
      </c>
      <c r="C45" s="79" t="s">
        <v>60</v>
      </c>
      <c r="D45" s="70">
        <v>0.1</v>
      </c>
      <c r="E45" s="70">
        <v>0.19</v>
      </c>
      <c r="F45" s="70">
        <v>0.33</v>
      </c>
      <c r="G45" s="70">
        <v>0.33</v>
      </c>
      <c r="H45" s="70">
        <v>0.1</v>
      </c>
      <c r="I45" s="70">
        <v>0.18</v>
      </c>
      <c r="J45" s="70">
        <v>0.35</v>
      </c>
      <c r="K45" s="70">
        <v>0.35</v>
      </c>
      <c r="L45" s="95">
        <v>0</v>
      </c>
      <c r="M45" s="95">
        <v>0.2</v>
      </c>
      <c r="N45" s="95">
        <v>0.31</v>
      </c>
      <c r="O45" s="95">
        <v>0.31</v>
      </c>
      <c r="P45" s="70">
        <v>0.50499999999999989</v>
      </c>
      <c r="Q45" s="70">
        <v>0.50499999999999989</v>
      </c>
      <c r="R45" s="70">
        <v>0.51249999999999996</v>
      </c>
    </row>
    <row r="46" spans="1:18" hidden="1" x14ac:dyDescent="0.2">
      <c r="A46" s="79" t="s">
        <v>99</v>
      </c>
      <c r="B46" s="79" t="s">
        <v>99</v>
      </c>
      <c r="C46" s="79" t="s">
        <v>99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81">
        <v>0</v>
      </c>
      <c r="M46" s="81">
        <v>0</v>
      </c>
      <c r="N46" s="81">
        <v>0</v>
      </c>
      <c r="O46" s="81">
        <v>0</v>
      </c>
      <c r="P46" s="70">
        <v>0</v>
      </c>
      <c r="Q46" s="70">
        <v>0</v>
      </c>
      <c r="R46" s="70">
        <v>0</v>
      </c>
    </row>
    <row r="47" spans="1:18" hidden="1" x14ac:dyDescent="0.2">
      <c r="A47" s="79" t="s">
        <v>100</v>
      </c>
      <c r="B47" s="79" t="s">
        <v>100</v>
      </c>
      <c r="C47" s="79" t="s">
        <v>100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81">
        <v>0</v>
      </c>
      <c r="M47" s="81">
        <v>0</v>
      </c>
      <c r="N47" s="81">
        <v>0</v>
      </c>
      <c r="O47" s="81">
        <v>0</v>
      </c>
      <c r="P47" s="70">
        <v>0</v>
      </c>
      <c r="Q47" s="70">
        <v>0</v>
      </c>
      <c r="R47" s="70">
        <v>0</v>
      </c>
    </row>
    <row r="48" spans="1:18" hidden="1" x14ac:dyDescent="0.2">
      <c r="A48" s="79" t="s">
        <v>101</v>
      </c>
      <c r="B48" s="79" t="s">
        <v>101</v>
      </c>
      <c r="C48" s="79" t="s">
        <v>101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81">
        <v>0</v>
      </c>
      <c r="M48" s="81">
        <v>0</v>
      </c>
      <c r="N48" s="81">
        <v>0</v>
      </c>
      <c r="O48" s="81">
        <v>0</v>
      </c>
      <c r="P48" s="70">
        <v>0</v>
      </c>
      <c r="Q48" s="70">
        <v>0</v>
      </c>
      <c r="R48" s="70">
        <v>0</v>
      </c>
    </row>
    <row r="49" spans="1:18" hidden="1" x14ac:dyDescent="0.2">
      <c r="A49" s="79" t="s">
        <v>102</v>
      </c>
      <c r="B49" s="79" t="s">
        <v>102</v>
      </c>
      <c r="C49" s="79" t="s">
        <v>102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81">
        <v>0</v>
      </c>
      <c r="M49" s="81">
        <v>0</v>
      </c>
      <c r="N49" s="81">
        <v>0</v>
      </c>
      <c r="O49" s="81">
        <v>0</v>
      </c>
      <c r="P49" s="70">
        <v>0</v>
      </c>
      <c r="Q49" s="70">
        <v>0</v>
      </c>
      <c r="R49" s="70">
        <v>0</v>
      </c>
    </row>
    <row r="50" spans="1:18" hidden="1" x14ac:dyDescent="0.2">
      <c r="A50" s="79" t="s">
        <v>111</v>
      </c>
      <c r="B50" s="79" t="s">
        <v>180</v>
      </c>
      <c r="C50" s="79" t="s">
        <v>103</v>
      </c>
      <c r="D50" s="70">
        <v>0.25</v>
      </c>
      <c r="E50" s="70">
        <v>0.32</v>
      </c>
      <c r="F50" s="70">
        <v>0.33</v>
      </c>
      <c r="G50" s="70">
        <v>0.33</v>
      </c>
      <c r="H50" s="70">
        <v>0.2</v>
      </c>
      <c r="I50" s="70">
        <v>0.32</v>
      </c>
      <c r="J50" s="70">
        <v>0.35</v>
      </c>
      <c r="K50" s="70">
        <v>0.35</v>
      </c>
      <c r="L50" s="95">
        <v>0.18</v>
      </c>
      <c r="M50" s="95">
        <v>0.3</v>
      </c>
      <c r="N50" s="95">
        <v>0.3</v>
      </c>
      <c r="O50" s="95">
        <v>0.3</v>
      </c>
      <c r="P50" s="70">
        <v>0.28000000000000003</v>
      </c>
      <c r="Q50" s="70">
        <v>0.28000000000000003</v>
      </c>
      <c r="R50" s="70">
        <v>0.27999999999999992</v>
      </c>
    </row>
    <row r="51" spans="1:18" hidden="1" x14ac:dyDescent="0.2">
      <c r="A51" s="79" t="s">
        <v>111</v>
      </c>
      <c r="B51" s="79" t="s">
        <v>181</v>
      </c>
      <c r="C51" s="79" t="s">
        <v>104</v>
      </c>
      <c r="D51" s="70">
        <v>0.25</v>
      </c>
      <c r="E51" s="70">
        <v>0.32</v>
      </c>
      <c r="F51" s="70">
        <v>0.33</v>
      </c>
      <c r="G51" s="70">
        <v>0.33</v>
      </c>
      <c r="H51" s="70">
        <v>0.2</v>
      </c>
      <c r="I51" s="70">
        <v>0.32</v>
      </c>
      <c r="J51" s="70">
        <v>0.35</v>
      </c>
      <c r="K51" s="70">
        <v>0.35</v>
      </c>
      <c r="L51" s="95">
        <v>0.18</v>
      </c>
      <c r="M51" s="95">
        <v>0.3</v>
      </c>
      <c r="N51" s="95">
        <v>0.3</v>
      </c>
      <c r="O51" s="95">
        <v>0.3</v>
      </c>
      <c r="P51" s="70">
        <v>0.28000000000000003</v>
      </c>
      <c r="Q51" s="70">
        <v>0.28000000000000003</v>
      </c>
      <c r="R51" s="70">
        <v>0.27999999999999992</v>
      </c>
    </row>
    <row r="52" spans="1:18" hidden="1" x14ac:dyDescent="0.2">
      <c r="A52" s="79" t="s">
        <v>111</v>
      </c>
      <c r="B52" s="79" t="s">
        <v>182</v>
      </c>
      <c r="C52" s="79" t="s">
        <v>104</v>
      </c>
      <c r="D52" s="70">
        <v>0.25</v>
      </c>
      <c r="E52" s="70">
        <v>0.32</v>
      </c>
      <c r="F52" s="70">
        <v>0.33</v>
      </c>
      <c r="G52" s="70">
        <v>0.33</v>
      </c>
      <c r="H52" s="70">
        <v>0.2</v>
      </c>
      <c r="I52" s="70">
        <v>0.32</v>
      </c>
      <c r="J52" s="70">
        <v>0.35</v>
      </c>
      <c r="K52" s="70">
        <v>0.35</v>
      </c>
      <c r="L52" s="95">
        <v>0.18</v>
      </c>
      <c r="M52" s="95">
        <v>0.3</v>
      </c>
      <c r="N52" s="95">
        <v>0.3</v>
      </c>
      <c r="O52" s="95">
        <v>0.3</v>
      </c>
      <c r="P52" s="70">
        <v>0.28000000000000003</v>
      </c>
      <c r="Q52" s="70">
        <v>0.28000000000000003</v>
      </c>
      <c r="R52" s="70">
        <v>0.27999999999999992</v>
      </c>
    </row>
    <row r="53" spans="1:18" hidden="1" x14ac:dyDescent="0.2">
      <c r="A53" s="79" t="s">
        <v>226</v>
      </c>
      <c r="B53" s="79" t="s">
        <v>183</v>
      </c>
      <c r="C53" s="79" t="s">
        <v>69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81">
        <v>0</v>
      </c>
      <c r="M53" s="81">
        <v>0</v>
      </c>
      <c r="N53" s="81">
        <v>0</v>
      </c>
      <c r="O53" s="81">
        <v>0</v>
      </c>
      <c r="P53" s="70">
        <v>0.28000000000000003</v>
      </c>
      <c r="Q53" s="70">
        <v>0.28000000000000003</v>
      </c>
      <c r="R53" s="70">
        <v>0.27999999999999992</v>
      </c>
    </row>
    <row r="54" spans="1:18" hidden="1" x14ac:dyDescent="0.2">
      <c r="A54" s="79" t="s">
        <v>226</v>
      </c>
      <c r="B54" s="79" t="s">
        <v>183</v>
      </c>
      <c r="C54" s="79" t="s">
        <v>69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81">
        <v>0</v>
      </c>
      <c r="M54" s="81">
        <v>0</v>
      </c>
      <c r="N54" s="81">
        <v>0</v>
      </c>
      <c r="O54" s="81">
        <v>0</v>
      </c>
      <c r="P54" s="70">
        <v>0.28000000000000003</v>
      </c>
      <c r="Q54" s="70">
        <v>0.28000000000000003</v>
      </c>
      <c r="R54" s="70">
        <v>0.27999999999999992</v>
      </c>
    </row>
    <row r="55" spans="1:18" hidden="1" x14ac:dyDescent="0.2">
      <c r="A55" s="79" t="s">
        <v>226</v>
      </c>
      <c r="B55" s="79" t="s">
        <v>184</v>
      </c>
      <c r="C55" s="79" t="s">
        <v>70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81">
        <v>0</v>
      </c>
      <c r="M55" s="81">
        <v>0</v>
      </c>
      <c r="N55" s="81">
        <v>0</v>
      </c>
      <c r="O55" s="81">
        <v>0</v>
      </c>
      <c r="P55" s="70">
        <v>0.28000000000000003</v>
      </c>
      <c r="Q55" s="70">
        <v>0.28000000000000003</v>
      </c>
      <c r="R55" s="70">
        <v>0.27999999999999992</v>
      </c>
    </row>
    <row r="56" spans="1:18" hidden="1" x14ac:dyDescent="0.2">
      <c r="A56" s="79" t="s">
        <v>242</v>
      </c>
      <c r="B56" s="79" t="s">
        <v>185</v>
      </c>
      <c r="C56" s="79" t="s">
        <v>186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81">
        <v>0</v>
      </c>
      <c r="M56" s="81">
        <v>0</v>
      </c>
      <c r="N56" s="81">
        <v>0</v>
      </c>
      <c r="O56" s="81">
        <v>0</v>
      </c>
      <c r="P56" s="70">
        <v>0</v>
      </c>
      <c r="Q56" s="70">
        <v>0</v>
      </c>
      <c r="R56" s="70">
        <v>0</v>
      </c>
    </row>
    <row r="57" spans="1:18" hidden="1" x14ac:dyDescent="0.2">
      <c r="A57" s="79" t="s">
        <v>242</v>
      </c>
      <c r="B57" s="79" t="s">
        <v>187</v>
      </c>
      <c r="C57" s="79" t="s">
        <v>186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81">
        <v>0</v>
      </c>
      <c r="M57" s="81">
        <v>0</v>
      </c>
      <c r="N57" s="81">
        <v>0</v>
      </c>
      <c r="O57" s="81">
        <v>0</v>
      </c>
      <c r="P57" s="70">
        <v>0</v>
      </c>
      <c r="Q57" s="70">
        <v>0</v>
      </c>
      <c r="R57" s="70">
        <v>0</v>
      </c>
    </row>
    <row r="58" spans="1:18" hidden="1" x14ac:dyDescent="0.2">
      <c r="A58" s="79" t="s">
        <v>242</v>
      </c>
      <c r="B58" s="79" t="s">
        <v>189</v>
      </c>
      <c r="C58" s="79" t="s">
        <v>73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81">
        <v>0</v>
      </c>
      <c r="M58" s="81">
        <v>0</v>
      </c>
      <c r="N58" s="81">
        <v>0</v>
      </c>
      <c r="O58" s="81">
        <v>0</v>
      </c>
      <c r="P58" s="70">
        <v>0</v>
      </c>
      <c r="Q58" s="70">
        <v>0</v>
      </c>
      <c r="R58" s="70">
        <v>0</v>
      </c>
    </row>
    <row r="59" spans="1:18" hidden="1" x14ac:dyDescent="0.2">
      <c r="A59" s="79" t="s">
        <v>242</v>
      </c>
      <c r="B59" s="79" t="s">
        <v>189</v>
      </c>
      <c r="C59" s="79" t="s">
        <v>73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81">
        <v>0</v>
      </c>
      <c r="M59" s="81">
        <v>0</v>
      </c>
      <c r="N59" s="81">
        <v>0</v>
      </c>
      <c r="O59" s="81">
        <v>0</v>
      </c>
      <c r="P59" s="70">
        <v>0</v>
      </c>
      <c r="Q59" s="70">
        <v>0</v>
      </c>
      <c r="R59" s="70">
        <v>0</v>
      </c>
    </row>
    <row r="60" spans="1:18" hidden="1" x14ac:dyDescent="0.2">
      <c r="A60" s="79" t="s">
        <v>105</v>
      </c>
      <c r="B60" s="79" t="s">
        <v>105</v>
      </c>
      <c r="C60" s="79" t="s">
        <v>105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81">
        <v>0</v>
      </c>
      <c r="M60" s="81">
        <v>0</v>
      </c>
      <c r="N60" s="81">
        <v>0</v>
      </c>
      <c r="O60" s="81">
        <v>0</v>
      </c>
      <c r="P60" s="70">
        <v>0</v>
      </c>
      <c r="Q60" s="70">
        <v>0</v>
      </c>
      <c r="R60" s="70">
        <v>0</v>
      </c>
    </row>
    <row r="61" spans="1:18" hidden="1" x14ac:dyDescent="0.2">
      <c r="A61" s="79" t="s">
        <v>243</v>
      </c>
      <c r="B61" s="79" t="s">
        <v>190</v>
      </c>
      <c r="C61" s="79" t="s">
        <v>17</v>
      </c>
      <c r="D61" s="70">
        <v>0</v>
      </c>
      <c r="E61" s="70">
        <v>0</v>
      </c>
      <c r="F61" s="70">
        <v>0</v>
      </c>
      <c r="G61" s="70">
        <v>0</v>
      </c>
      <c r="H61" s="70">
        <v>0</v>
      </c>
      <c r="I61" s="70">
        <v>0</v>
      </c>
      <c r="J61" s="70">
        <v>0</v>
      </c>
      <c r="K61" s="70">
        <v>0</v>
      </c>
      <c r="L61" s="81">
        <v>0</v>
      </c>
      <c r="M61" s="81">
        <v>0</v>
      </c>
      <c r="N61" s="81">
        <v>0</v>
      </c>
      <c r="O61" s="81">
        <v>0</v>
      </c>
      <c r="P61" s="70">
        <v>0</v>
      </c>
      <c r="Q61" s="70">
        <v>0</v>
      </c>
      <c r="R61" s="70">
        <v>0</v>
      </c>
    </row>
    <row r="62" spans="1:18" hidden="1" x14ac:dyDescent="0.2">
      <c r="A62" s="79" t="s">
        <v>243</v>
      </c>
      <c r="B62" s="79" t="s">
        <v>191</v>
      </c>
      <c r="C62" s="79" t="s">
        <v>18</v>
      </c>
      <c r="D62" s="70">
        <v>0</v>
      </c>
      <c r="E62" s="70">
        <v>0</v>
      </c>
      <c r="F62" s="70"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81">
        <v>0</v>
      </c>
      <c r="M62" s="81">
        <v>0</v>
      </c>
      <c r="N62" s="81">
        <v>0</v>
      </c>
      <c r="O62" s="81">
        <v>0</v>
      </c>
      <c r="P62" s="70">
        <v>0</v>
      </c>
      <c r="Q62" s="70">
        <v>0</v>
      </c>
      <c r="R62" s="70">
        <v>0</v>
      </c>
    </row>
    <row r="63" spans="1:18" hidden="1" x14ac:dyDescent="0.2">
      <c r="A63" s="79" t="s">
        <v>243</v>
      </c>
      <c r="B63" s="79" t="s">
        <v>192</v>
      </c>
      <c r="C63" s="79" t="s">
        <v>18</v>
      </c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81">
        <v>0</v>
      </c>
      <c r="M63" s="81">
        <v>0</v>
      </c>
      <c r="N63" s="81">
        <v>0</v>
      </c>
      <c r="O63" s="81">
        <v>0</v>
      </c>
      <c r="P63" s="70">
        <v>0</v>
      </c>
      <c r="Q63" s="70">
        <v>0</v>
      </c>
      <c r="R63" s="70">
        <v>0</v>
      </c>
    </row>
    <row r="64" spans="1:18" hidden="1" x14ac:dyDescent="0.2">
      <c r="A64" s="79" t="s">
        <v>243</v>
      </c>
      <c r="B64" s="79" t="s">
        <v>192</v>
      </c>
      <c r="C64" s="79" t="s">
        <v>18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81">
        <v>0</v>
      </c>
      <c r="M64" s="81">
        <v>0</v>
      </c>
      <c r="N64" s="81">
        <v>0</v>
      </c>
      <c r="O64" s="81">
        <v>0</v>
      </c>
      <c r="P64" s="70">
        <v>0</v>
      </c>
      <c r="Q64" s="70">
        <v>0</v>
      </c>
      <c r="R64" s="70">
        <v>0</v>
      </c>
    </row>
    <row r="65" spans="1:18" hidden="1" x14ac:dyDescent="0.2">
      <c r="A65" s="79" t="s">
        <v>244</v>
      </c>
      <c r="B65" s="79" t="s">
        <v>193</v>
      </c>
      <c r="C65" s="79" t="s">
        <v>19</v>
      </c>
      <c r="D65" s="70">
        <v>0</v>
      </c>
      <c r="E65" s="70">
        <v>0</v>
      </c>
      <c r="F65" s="70">
        <v>0.25</v>
      </c>
      <c r="G65" s="70">
        <v>0.25</v>
      </c>
      <c r="H65" s="70">
        <v>0</v>
      </c>
      <c r="I65" s="70">
        <v>0</v>
      </c>
      <c r="J65" s="70">
        <v>0.25</v>
      </c>
      <c r="K65" s="70">
        <v>0.25</v>
      </c>
      <c r="L65" s="95">
        <v>0</v>
      </c>
      <c r="M65" s="95">
        <v>0</v>
      </c>
      <c r="N65" s="95">
        <v>0.25</v>
      </c>
      <c r="O65" s="95">
        <v>0.25</v>
      </c>
      <c r="P65" s="70">
        <v>0</v>
      </c>
      <c r="Q65" s="70">
        <v>0</v>
      </c>
      <c r="R65" s="70">
        <v>0</v>
      </c>
    </row>
    <row r="66" spans="1:18" hidden="1" x14ac:dyDescent="0.2">
      <c r="A66" s="79" t="s">
        <v>244</v>
      </c>
      <c r="B66" s="79" t="s">
        <v>194</v>
      </c>
      <c r="C66" s="79" t="s">
        <v>20</v>
      </c>
      <c r="D66" s="70">
        <v>0</v>
      </c>
      <c r="E66" s="70">
        <v>0</v>
      </c>
      <c r="F66" s="70">
        <v>0.25</v>
      </c>
      <c r="G66" s="70">
        <v>0.25</v>
      </c>
      <c r="H66" s="70">
        <v>0</v>
      </c>
      <c r="I66" s="70">
        <v>0</v>
      </c>
      <c r="J66" s="70">
        <v>0.25</v>
      </c>
      <c r="K66" s="70">
        <v>0.25</v>
      </c>
      <c r="L66" s="95">
        <v>0</v>
      </c>
      <c r="M66" s="95">
        <v>0</v>
      </c>
      <c r="N66" s="95">
        <v>0.25</v>
      </c>
      <c r="O66" s="95">
        <v>0.25</v>
      </c>
      <c r="P66" s="70">
        <v>0</v>
      </c>
      <c r="Q66" s="70">
        <v>0</v>
      </c>
      <c r="R66" s="70">
        <v>0</v>
      </c>
    </row>
    <row r="67" spans="1:18" hidden="1" x14ac:dyDescent="0.2">
      <c r="A67" s="79" t="s">
        <v>244</v>
      </c>
      <c r="B67" s="79" t="s">
        <v>194</v>
      </c>
      <c r="C67" s="79" t="s">
        <v>20</v>
      </c>
      <c r="D67" s="70">
        <v>0</v>
      </c>
      <c r="E67" s="70">
        <v>0</v>
      </c>
      <c r="F67" s="70">
        <v>0.25</v>
      </c>
      <c r="G67" s="70">
        <v>0.25</v>
      </c>
      <c r="H67" s="70">
        <v>0</v>
      </c>
      <c r="I67" s="70">
        <v>0</v>
      </c>
      <c r="J67" s="70">
        <v>0.25</v>
      </c>
      <c r="K67" s="70">
        <v>0.25</v>
      </c>
      <c r="L67" s="95">
        <v>0</v>
      </c>
      <c r="M67" s="95">
        <v>0</v>
      </c>
      <c r="N67" s="95">
        <v>0.25</v>
      </c>
      <c r="O67" s="95">
        <v>0.25</v>
      </c>
      <c r="P67" s="70">
        <v>0</v>
      </c>
      <c r="Q67" s="70">
        <v>0</v>
      </c>
      <c r="R67" s="70">
        <v>0</v>
      </c>
    </row>
    <row r="68" spans="1:18" hidden="1" x14ac:dyDescent="0.2">
      <c r="A68" s="79" t="s">
        <v>106</v>
      </c>
      <c r="B68" s="79" t="s">
        <v>106</v>
      </c>
      <c r="C68" s="79" t="s">
        <v>106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81">
        <v>0</v>
      </c>
      <c r="M68" s="81">
        <v>0</v>
      </c>
      <c r="N68" s="81">
        <v>0</v>
      </c>
      <c r="O68" s="81">
        <v>0</v>
      </c>
      <c r="P68" s="70">
        <v>0</v>
      </c>
      <c r="Q68" s="70">
        <v>0</v>
      </c>
      <c r="R68" s="70">
        <v>0</v>
      </c>
    </row>
    <row r="69" spans="1:18" hidden="1" x14ac:dyDescent="0.2">
      <c r="A69" s="79" t="s">
        <v>245</v>
      </c>
      <c r="B69" s="79" t="s">
        <v>195</v>
      </c>
      <c r="C69" s="79" t="s">
        <v>75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81">
        <v>0</v>
      </c>
      <c r="M69" s="81">
        <v>0</v>
      </c>
      <c r="N69" s="81">
        <v>0</v>
      </c>
      <c r="O69" s="81">
        <v>0</v>
      </c>
      <c r="P69" s="70">
        <v>0</v>
      </c>
      <c r="Q69" s="70">
        <v>0</v>
      </c>
      <c r="R69" s="70">
        <v>0</v>
      </c>
    </row>
    <row r="70" spans="1:18" hidden="1" x14ac:dyDescent="0.2">
      <c r="A70" s="79" t="s">
        <v>245</v>
      </c>
      <c r="B70" s="79" t="s">
        <v>196</v>
      </c>
      <c r="C70" s="79" t="s">
        <v>75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81">
        <v>0</v>
      </c>
      <c r="M70" s="81">
        <v>0</v>
      </c>
      <c r="N70" s="81">
        <v>0</v>
      </c>
      <c r="O70" s="81">
        <v>0</v>
      </c>
      <c r="P70" s="70">
        <v>0</v>
      </c>
      <c r="Q70" s="70">
        <v>0</v>
      </c>
      <c r="R70" s="70">
        <v>0</v>
      </c>
    </row>
    <row r="71" spans="1:18" hidden="1" x14ac:dyDescent="0.2">
      <c r="A71" s="79" t="s">
        <v>246</v>
      </c>
      <c r="B71" s="79" t="s">
        <v>197</v>
      </c>
      <c r="C71" s="79" t="s">
        <v>75</v>
      </c>
      <c r="D71" s="70">
        <v>0.1</v>
      </c>
      <c r="E71" s="70">
        <v>0.2</v>
      </c>
      <c r="F71" s="70">
        <v>0.4</v>
      </c>
      <c r="G71" s="70">
        <v>0.27</v>
      </c>
      <c r="H71" s="70">
        <v>0.1</v>
      </c>
      <c r="I71" s="70">
        <v>0.2</v>
      </c>
      <c r="J71" s="70">
        <v>0.28000000000000003</v>
      </c>
      <c r="K71" s="70">
        <v>0.28000000000000003</v>
      </c>
      <c r="L71" s="95">
        <v>0</v>
      </c>
      <c r="M71" s="95">
        <v>0.21</v>
      </c>
      <c r="N71" s="95">
        <v>0.32</v>
      </c>
      <c r="O71" s="95">
        <v>0.32</v>
      </c>
      <c r="P71" s="70">
        <v>0</v>
      </c>
      <c r="Q71" s="70">
        <v>0</v>
      </c>
      <c r="R71" s="70">
        <v>0</v>
      </c>
    </row>
    <row r="72" spans="1:18" hidden="1" x14ac:dyDescent="0.2">
      <c r="A72" s="79" t="s">
        <v>247</v>
      </c>
      <c r="B72" s="79" t="s">
        <v>198</v>
      </c>
      <c r="C72" s="79" t="s">
        <v>76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81">
        <v>0</v>
      </c>
      <c r="M72" s="81">
        <v>0</v>
      </c>
      <c r="N72" s="81">
        <v>0</v>
      </c>
      <c r="O72" s="81">
        <v>0</v>
      </c>
      <c r="P72" s="70">
        <v>0</v>
      </c>
      <c r="Q72" s="70">
        <v>0</v>
      </c>
      <c r="R72" s="70">
        <v>0</v>
      </c>
    </row>
    <row r="73" spans="1:18" hidden="1" x14ac:dyDescent="0.2">
      <c r="A73" s="79" t="s">
        <v>86</v>
      </c>
      <c r="B73" s="79" t="s">
        <v>199</v>
      </c>
      <c r="C73" s="79" t="s">
        <v>78</v>
      </c>
      <c r="D73" s="70">
        <v>0.15</v>
      </c>
      <c r="E73" s="70">
        <v>0.2</v>
      </c>
      <c r="F73" s="70">
        <v>0.38</v>
      </c>
      <c r="G73" s="70">
        <v>0.38</v>
      </c>
      <c r="H73" s="70">
        <v>0.1</v>
      </c>
      <c r="I73" s="70">
        <v>0.2</v>
      </c>
      <c r="J73" s="70">
        <v>0.32</v>
      </c>
      <c r="K73" s="70">
        <v>0.32</v>
      </c>
      <c r="L73" s="95">
        <v>0</v>
      </c>
      <c r="M73" s="95">
        <v>0.22</v>
      </c>
      <c r="N73" s="95">
        <v>0.32</v>
      </c>
      <c r="O73" s="95">
        <v>0.32</v>
      </c>
      <c r="P73" s="70">
        <v>0</v>
      </c>
      <c r="Q73" s="70">
        <v>0</v>
      </c>
      <c r="R73" s="70">
        <v>0</v>
      </c>
    </row>
    <row r="74" spans="1:18" hidden="1" x14ac:dyDescent="0.2">
      <c r="A74" s="79" t="s">
        <v>86</v>
      </c>
      <c r="B74" s="79" t="s">
        <v>200</v>
      </c>
      <c r="C74" s="79" t="s">
        <v>79</v>
      </c>
      <c r="D74" s="70">
        <v>0.15</v>
      </c>
      <c r="E74" s="70">
        <v>0.2</v>
      </c>
      <c r="F74" s="70">
        <v>0.38</v>
      </c>
      <c r="G74" s="70">
        <v>0.38</v>
      </c>
      <c r="H74" s="70">
        <v>0.1</v>
      </c>
      <c r="I74" s="70">
        <v>0.2</v>
      </c>
      <c r="J74" s="70">
        <v>0.32</v>
      </c>
      <c r="K74" s="70">
        <v>0.32</v>
      </c>
      <c r="L74" s="95">
        <v>0</v>
      </c>
      <c r="M74" s="95">
        <v>0.22</v>
      </c>
      <c r="N74" s="95">
        <v>0.32</v>
      </c>
      <c r="O74" s="95">
        <v>0.32</v>
      </c>
      <c r="P74" s="70">
        <v>0</v>
      </c>
      <c r="Q74" s="70">
        <v>0</v>
      </c>
      <c r="R74" s="70">
        <v>0</v>
      </c>
    </row>
    <row r="75" spans="1:18" hidden="1" x14ac:dyDescent="0.2">
      <c r="A75" s="79" t="s">
        <v>248</v>
      </c>
      <c r="B75" s="79" t="s">
        <v>201</v>
      </c>
      <c r="C75" s="79" t="s">
        <v>107</v>
      </c>
      <c r="D75" s="70">
        <v>0.2</v>
      </c>
      <c r="E75" s="70">
        <v>0.25</v>
      </c>
      <c r="F75" s="70">
        <v>0.33</v>
      </c>
      <c r="G75" s="70">
        <v>0.33</v>
      </c>
      <c r="H75" s="70">
        <v>0.15</v>
      </c>
      <c r="I75" s="70">
        <v>0.24</v>
      </c>
      <c r="J75" s="81">
        <v>0.35</v>
      </c>
      <c r="K75" s="81">
        <v>0.35</v>
      </c>
      <c r="L75" s="95">
        <v>0</v>
      </c>
      <c r="M75" s="95">
        <v>0.14000000000000001</v>
      </c>
      <c r="N75" s="95">
        <v>0.26</v>
      </c>
      <c r="O75" s="95">
        <v>0.26</v>
      </c>
      <c r="P75" s="70">
        <v>0.28000000000000003</v>
      </c>
      <c r="Q75" s="70">
        <v>0.28000000000000003</v>
      </c>
      <c r="R75" s="70">
        <v>0.27999999999999992</v>
      </c>
    </row>
    <row r="76" spans="1:18" hidden="1" x14ac:dyDescent="0.2">
      <c r="A76" s="79" t="s">
        <v>248</v>
      </c>
      <c r="B76" s="79" t="s">
        <v>202</v>
      </c>
      <c r="C76" s="79" t="s">
        <v>108</v>
      </c>
      <c r="D76" s="70">
        <v>0.2</v>
      </c>
      <c r="E76" s="70">
        <v>0.25</v>
      </c>
      <c r="F76" s="70">
        <v>0.33</v>
      </c>
      <c r="G76" s="70">
        <v>0.33</v>
      </c>
      <c r="H76" s="70">
        <v>0.15</v>
      </c>
      <c r="I76" s="70">
        <v>0.24</v>
      </c>
      <c r="J76" s="81">
        <v>0.35</v>
      </c>
      <c r="K76" s="81">
        <v>0.35</v>
      </c>
      <c r="L76" s="95">
        <v>0</v>
      </c>
      <c r="M76" s="95">
        <v>0.14000000000000001</v>
      </c>
      <c r="N76" s="95">
        <v>0.26</v>
      </c>
      <c r="O76" s="95">
        <v>0.26</v>
      </c>
      <c r="P76" s="70">
        <v>0.28000000000000003</v>
      </c>
      <c r="Q76" s="70">
        <v>0.28000000000000003</v>
      </c>
      <c r="R76" s="70">
        <v>0.27999999999999992</v>
      </c>
    </row>
    <row r="77" spans="1:18" hidden="1" x14ac:dyDescent="0.2">
      <c r="A77" s="79" t="s">
        <v>248</v>
      </c>
      <c r="B77" s="79" t="s">
        <v>203</v>
      </c>
      <c r="C77" s="79" t="s">
        <v>108</v>
      </c>
      <c r="D77" s="70">
        <v>0.2</v>
      </c>
      <c r="E77" s="70">
        <v>0.25</v>
      </c>
      <c r="F77" s="70">
        <v>0.33</v>
      </c>
      <c r="G77" s="70">
        <v>0.33</v>
      </c>
      <c r="H77" s="70">
        <v>0.15</v>
      </c>
      <c r="I77" s="70">
        <v>0.24</v>
      </c>
      <c r="J77" s="81">
        <v>0.35</v>
      </c>
      <c r="K77" s="81">
        <v>0.35</v>
      </c>
      <c r="L77" s="95">
        <v>0</v>
      </c>
      <c r="M77" s="95">
        <v>0.14000000000000001</v>
      </c>
      <c r="N77" s="95">
        <v>0.26</v>
      </c>
      <c r="O77" s="95">
        <v>0.26</v>
      </c>
      <c r="P77" s="70">
        <v>0.28000000000000003</v>
      </c>
      <c r="Q77" s="70">
        <v>0.28000000000000003</v>
      </c>
      <c r="R77" s="70">
        <v>0.27999999999999992</v>
      </c>
    </row>
    <row r="78" spans="1:18" hidden="1" x14ac:dyDescent="0.2">
      <c r="A78" s="79" t="s">
        <v>249</v>
      </c>
      <c r="B78" s="79" t="s">
        <v>204</v>
      </c>
      <c r="C78" s="79" t="s">
        <v>108</v>
      </c>
      <c r="D78" s="70">
        <v>0</v>
      </c>
      <c r="E78" s="70">
        <v>0.1</v>
      </c>
      <c r="F78" s="70">
        <v>0.33</v>
      </c>
      <c r="G78" s="70">
        <v>0.33</v>
      </c>
      <c r="H78" s="70">
        <v>0.1</v>
      </c>
      <c r="I78" s="70">
        <v>0.1</v>
      </c>
      <c r="J78" s="70">
        <v>0.3</v>
      </c>
      <c r="K78" s="70">
        <v>0.3</v>
      </c>
      <c r="L78" s="95">
        <v>0</v>
      </c>
      <c r="M78" s="95">
        <v>0.14000000000000001</v>
      </c>
      <c r="N78" s="95">
        <v>0.26</v>
      </c>
      <c r="O78" s="95">
        <v>0.26</v>
      </c>
      <c r="P78" s="70">
        <v>0.28000000000000003</v>
      </c>
      <c r="Q78" s="70">
        <v>0.28000000000000003</v>
      </c>
      <c r="R78" s="70">
        <v>0.27999999999999992</v>
      </c>
    </row>
    <row r="79" spans="1:18" hidden="1" x14ac:dyDescent="0.2">
      <c r="A79" s="79" t="s">
        <v>249</v>
      </c>
      <c r="B79" s="79" t="s">
        <v>205</v>
      </c>
      <c r="C79" s="79" t="s">
        <v>108</v>
      </c>
      <c r="D79" s="70">
        <v>0</v>
      </c>
      <c r="E79" s="70">
        <v>0.1</v>
      </c>
      <c r="F79" s="70">
        <v>0.33</v>
      </c>
      <c r="G79" s="70">
        <v>0.33</v>
      </c>
      <c r="H79" s="70">
        <v>0.1</v>
      </c>
      <c r="I79" s="70">
        <v>0.1</v>
      </c>
      <c r="J79" s="70">
        <v>0.3</v>
      </c>
      <c r="K79" s="70">
        <v>0.3</v>
      </c>
      <c r="L79" s="95">
        <v>0</v>
      </c>
      <c r="M79" s="95">
        <v>0.14000000000000001</v>
      </c>
      <c r="N79" s="95">
        <v>0.26</v>
      </c>
      <c r="O79" s="95">
        <v>0.26</v>
      </c>
      <c r="P79" s="70">
        <v>0.28000000000000003</v>
      </c>
      <c r="Q79" s="70">
        <v>0.28000000000000003</v>
      </c>
      <c r="R79" s="70">
        <v>0.27999999999999992</v>
      </c>
    </row>
    <row r="82" spans="6:7" x14ac:dyDescent="0.2">
      <c r="F82" s="97"/>
      <c r="G82" s="97"/>
    </row>
    <row r="83" spans="6:7" x14ac:dyDescent="0.2">
      <c r="F83" s="97"/>
      <c r="G83" s="97"/>
    </row>
  </sheetData>
  <autoFilter ref="A3:R79" xr:uid="{CA294109-47B0-477D-A845-22ECDADF82AD}">
    <filterColumn colId="0">
      <filters>
        <filter val="GOA"/>
        <filter val="MAHARASHTRA - 1 MPK"/>
        <filter val="MAHARASHTRA - 2 NN"/>
        <filter val="MAHARASHTRA - 3 R"/>
      </filters>
    </filterColumn>
  </autoFilter>
  <mergeCells count="4">
    <mergeCell ref="D2:G2"/>
    <mergeCell ref="H2:K2"/>
    <mergeCell ref="L2:O2"/>
    <mergeCell ref="P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1F3F-C8CB-4117-8CE4-59FEBA47A8DA}">
  <sheetPr filterMode="1"/>
  <dimension ref="A2:U84"/>
  <sheetViews>
    <sheetView workbookViewId="0">
      <pane xSplit="4" ySplit="4" topLeftCell="E18" activePane="bottomRight" state="frozen"/>
      <selection pane="topRight" activeCell="E1" sqref="E1"/>
      <selection pane="bottomLeft" activeCell="A5" sqref="A5"/>
      <selection pane="bottomRight" activeCell="J42" sqref="J42"/>
    </sheetView>
  </sheetViews>
  <sheetFormatPr defaultColWidth="9.140625" defaultRowHeight="12" x14ac:dyDescent="0.2"/>
  <cols>
    <col min="1" max="2" width="30.28515625" style="74" bestFit="1" customWidth="1"/>
    <col min="3" max="3" width="23.5703125" style="74" bestFit="1" customWidth="1"/>
    <col min="4" max="4" width="46" style="74" customWidth="1"/>
    <col min="5" max="5" width="8.85546875" style="74" bestFit="1" customWidth="1"/>
    <col min="6" max="6" width="13.85546875" style="74" bestFit="1" customWidth="1"/>
    <col min="7" max="7" width="15.5703125" style="74" bestFit="1" customWidth="1"/>
    <col min="8" max="8" width="12.42578125" style="74" bestFit="1" customWidth="1"/>
    <col min="9" max="9" width="9.7109375" style="74" bestFit="1" customWidth="1"/>
    <col min="10" max="10" width="10" style="74" bestFit="1" customWidth="1"/>
    <col min="11" max="11" width="16.7109375" style="74" bestFit="1" customWidth="1"/>
    <col min="12" max="12" width="8.85546875" style="74" bestFit="1" customWidth="1"/>
    <col min="13" max="13" width="13.85546875" style="74" bestFit="1" customWidth="1"/>
    <col min="14" max="14" width="15.5703125" style="74" bestFit="1" customWidth="1"/>
    <col min="15" max="15" width="8.85546875" style="74" bestFit="1" customWidth="1"/>
    <col min="16" max="16" width="13.85546875" style="74" bestFit="1" customWidth="1"/>
    <col min="17" max="17" width="15.5703125" style="74" bestFit="1" customWidth="1"/>
    <col min="18" max="18" width="8.85546875" style="74" bestFit="1" customWidth="1"/>
    <col min="19" max="19" width="13.85546875" style="74" bestFit="1" customWidth="1"/>
    <col min="20" max="20" width="15.5703125" style="74" bestFit="1" customWidth="1"/>
    <col min="21" max="21" width="12.42578125" style="74" bestFit="1" customWidth="1"/>
    <col min="22" max="16384" width="9.140625" style="74"/>
  </cols>
  <sheetData>
    <row r="2" spans="1:21" x14ac:dyDescent="0.2">
      <c r="E2" s="121" t="s">
        <v>87</v>
      </c>
      <c r="F2" s="121"/>
      <c r="G2" s="121"/>
      <c r="H2" s="121"/>
      <c r="I2" s="124" t="s">
        <v>210</v>
      </c>
      <c r="J2" s="124" t="s">
        <v>211</v>
      </c>
      <c r="K2" s="126" t="s">
        <v>90</v>
      </c>
      <c r="R2" s="117" t="s">
        <v>87</v>
      </c>
      <c r="S2" s="117"/>
      <c r="T2" s="117"/>
      <c r="U2" s="117"/>
    </row>
    <row r="3" spans="1:21" x14ac:dyDescent="0.2">
      <c r="E3" s="122" t="s">
        <v>91</v>
      </c>
      <c r="F3" s="123"/>
      <c r="G3" s="123"/>
      <c r="H3" s="123"/>
      <c r="I3" s="125"/>
      <c r="J3" s="125"/>
      <c r="K3" s="127"/>
      <c r="L3" s="116" t="s">
        <v>43</v>
      </c>
      <c r="M3" s="116"/>
      <c r="N3" s="116"/>
      <c r="O3" s="116" t="s">
        <v>255</v>
      </c>
      <c r="P3" s="116"/>
      <c r="Q3" s="116"/>
      <c r="R3" s="118" t="s">
        <v>92</v>
      </c>
      <c r="S3" s="119"/>
      <c r="T3" s="119"/>
      <c r="U3" s="120"/>
    </row>
    <row r="4" spans="1:21" x14ac:dyDescent="0.2">
      <c r="A4" s="77" t="s">
        <v>250</v>
      </c>
      <c r="B4" s="77" t="s">
        <v>251</v>
      </c>
      <c r="C4" s="77" t="s">
        <v>220</v>
      </c>
      <c r="D4" s="77" t="s">
        <v>221</v>
      </c>
      <c r="E4" s="76" t="s">
        <v>47</v>
      </c>
      <c r="F4" s="76" t="s">
        <v>48</v>
      </c>
      <c r="G4" s="76" t="s">
        <v>49</v>
      </c>
      <c r="H4" s="76" t="s">
        <v>218</v>
      </c>
      <c r="I4" s="75"/>
      <c r="J4" s="75"/>
      <c r="K4" s="78"/>
      <c r="L4" s="76" t="s">
        <v>47</v>
      </c>
      <c r="M4" s="76" t="s">
        <v>48</v>
      </c>
      <c r="N4" s="76" t="s">
        <v>49</v>
      </c>
      <c r="O4" s="76" t="s">
        <v>47</v>
      </c>
      <c r="P4" s="76" t="s">
        <v>48</v>
      </c>
      <c r="Q4" s="76" t="s">
        <v>49</v>
      </c>
      <c r="R4" s="76" t="s">
        <v>47</v>
      </c>
      <c r="S4" s="76" t="s">
        <v>48</v>
      </c>
      <c r="T4" s="76" t="s">
        <v>49</v>
      </c>
      <c r="U4" s="76" t="s">
        <v>218</v>
      </c>
    </row>
    <row r="5" spans="1:21" hidden="1" x14ac:dyDescent="0.2">
      <c r="A5" s="79" t="s">
        <v>145</v>
      </c>
      <c r="B5" s="79" t="s">
        <v>145</v>
      </c>
      <c r="C5" s="79" t="s">
        <v>145</v>
      </c>
      <c r="D5" s="79" t="s">
        <v>7</v>
      </c>
      <c r="E5" s="70">
        <v>0.36499999999999999</v>
      </c>
      <c r="F5" s="70">
        <v>0.62</v>
      </c>
      <c r="G5" s="70">
        <v>0.62</v>
      </c>
      <c r="H5" s="70">
        <v>0.62</v>
      </c>
      <c r="I5" s="70">
        <v>0.18</v>
      </c>
      <c r="J5" s="70">
        <v>0.18</v>
      </c>
      <c r="K5" s="70">
        <v>0.33</v>
      </c>
      <c r="L5" s="70">
        <v>0</v>
      </c>
      <c r="M5" s="70">
        <v>0.2</v>
      </c>
      <c r="N5" s="70">
        <v>0.35</v>
      </c>
      <c r="O5" s="70">
        <v>0</v>
      </c>
      <c r="P5" s="70">
        <v>0.2</v>
      </c>
      <c r="Q5" s="70">
        <v>0.32</v>
      </c>
      <c r="R5" s="89">
        <v>0.31</v>
      </c>
      <c r="S5" s="89">
        <v>0.48</v>
      </c>
      <c r="T5" s="81">
        <v>0.54</v>
      </c>
      <c r="U5" s="81">
        <v>0.51</v>
      </c>
    </row>
    <row r="6" spans="1:21" hidden="1" x14ac:dyDescent="0.2">
      <c r="A6" s="79" t="s">
        <v>146</v>
      </c>
      <c r="B6" s="79" t="s">
        <v>146</v>
      </c>
      <c r="C6" s="79" t="s">
        <v>146</v>
      </c>
      <c r="D6" s="79" t="s">
        <v>10</v>
      </c>
      <c r="E6" s="70">
        <v>0.36499999999999999</v>
      </c>
      <c r="F6" s="70">
        <v>0.67</v>
      </c>
      <c r="G6" s="70">
        <v>0.67</v>
      </c>
      <c r="H6" s="70">
        <v>0.67</v>
      </c>
      <c r="I6" s="70">
        <v>0.18</v>
      </c>
      <c r="J6" s="70">
        <v>0.18</v>
      </c>
      <c r="K6" s="70">
        <v>0.33</v>
      </c>
      <c r="L6" s="70">
        <v>0</v>
      </c>
      <c r="M6" s="70">
        <v>0.38</v>
      </c>
      <c r="N6" s="70">
        <v>0.4</v>
      </c>
      <c r="O6" s="70">
        <v>0</v>
      </c>
      <c r="P6" s="70">
        <v>0.2</v>
      </c>
      <c r="Q6" s="70">
        <v>0.48</v>
      </c>
      <c r="R6" s="89">
        <v>0.3</v>
      </c>
      <c r="S6" s="89">
        <v>0.48</v>
      </c>
      <c r="T6" s="81">
        <v>0.54</v>
      </c>
      <c r="U6" s="81">
        <v>0.51</v>
      </c>
    </row>
    <row r="7" spans="1:21" hidden="1" x14ac:dyDescent="0.2">
      <c r="A7" s="79" t="s">
        <v>222</v>
      </c>
      <c r="B7" s="79" t="s">
        <v>147</v>
      </c>
      <c r="C7" s="79" t="s">
        <v>147</v>
      </c>
      <c r="D7" s="79" t="s">
        <v>9</v>
      </c>
      <c r="E7" s="70">
        <v>0.36499999999999999</v>
      </c>
      <c r="F7" s="70">
        <v>0.67</v>
      </c>
      <c r="G7" s="70">
        <v>0.67</v>
      </c>
      <c r="H7" s="70">
        <v>0.67</v>
      </c>
      <c r="I7" s="70">
        <v>0.18</v>
      </c>
      <c r="J7" s="70">
        <v>0.18</v>
      </c>
      <c r="K7" s="70">
        <v>0.33</v>
      </c>
      <c r="L7" s="70">
        <v>0</v>
      </c>
      <c r="M7" s="70">
        <v>0.1</v>
      </c>
      <c r="N7" s="70">
        <v>0.28999999999999998</v>
      </c>
      <c r="O7" s="70">
        <v>0</v>
      </c>
      <c r="P7" s="70">
        <v>0.1</v>
      </c>
      <c r="Q7" s="70">
        <v>0.27</v>
      </c>
      <c r="R7" s="89">
        <v>0.28999999999999998</v>
      </c>
      <c r="S7" s="89">
        <v>0.47</v>
      </c>
      <c r="T7" s="81">
        <v>0.52</v>
      </c>
      <c r="U7" s="81">
        <v>0.49</v>
      </c>
    </row>
    <row r="8" spans="1:21" hidden="1" x14ac:dyDescent="0.2">
      <c r="A8" s="79" t="s">
        <v>223</v>
      </c>
      <c r="B8" s="79" t="s">
        <v>147</v>
      </c>
      <c r="C8" s="79" t="s">
        <v>147</v>
      </c>
      <c r="D8" s="79" t="s">
        <v>9</v>
      </c>
      <c r="E8" s="71">
        <v>0.13</v>
      </c>
      <c r="F8" s="71">
        <v>0.36</v>
      </c>
      <c r="G8" s="71">
        <v>0.43</v>
      </c>
      <c r="H8" s="71">
        <v>0.38</v>
      </c>
      <c r="I8" s="70">
        <v>0.18</v>
      </c>
      <c r="J8" s="70">
        <v>0.18</v>
      </c>
      <c r="K8" s="70">
        <v>0.33</v>
      </c>
      <c r="L8" s="70">
        <v>0</v>
      </c>
      <c r="M8" s="70">
        <v>0.1</v>
      </c>
      <c r="N8" s="70">
        <v>0.28999999999999998</v>
      </c>
      <c r="O8" s="70">
        <v>0</v>
      </c>
      <c r="P8" s="70">
        <v>0.1</v>
      </c>
      <c r="Q8" s="70">
        <v>0.27</v>
      </c>
      <c r="R8" s="80">
        <v>0</v>
      </c>
      <c r="S8" s="80">
        <v>0</v>
      </c>
      <c r="T8" s="80">
        <v>0</v>
      </c>
      <c r="U8" s="80">
        <v>0</v>
      </c>
    </row>
    <row r="9" spans="1:21" hidden="1" x14ac:dyDescent="0.2">
      <c r="A9" s="79" t="s">
        <v>93</v>
      </c>
      <c r="B9" s="79" t="s">
        <v>93</v>
      </c>
      <c r="C9" s="79" t="s">
        <v>93</v>
      </c>
      <c r="D9" s="79" t="s">
        <v>93</v>
      </c>
      <c r="E9" s="70">
        <v>0</v>
      </c>
      <c r="F9" s="70">
        <v>0</v>
      </c>
      <c r="G9" s="70">
        <v>0</v>
      </c>
      <c r="H9" s="70">
        <v>0</v>
      </c>
      <c r="I9" s="70">
        <v>0.2</v>
      </c>
      <c r="J9" s="70">
        <v>0.2</v>
      </c>
      <c r="K9" s="70">
        <v>0.15</v>
      </c>
      <c r="L9" s="70">
        <v>0</v>
      </c>
      <c r="M9" s="70">
        <v>0.19600000000000006</v>
      </c>
      <c r="N9" s="70">
        <v>0.33800000000000008</v>
      </c>
      <c r="O9" s="70">
        <v>0</v>
      </c>
      <c r="P9" s="70">
        <v>0.14850000000000008</v>
      </c>
      <c r="Q9" s="70">
        <v>0</v>
      </c>
      <c r="R9" s="80">
        <v>0</v>
      </c>
      <c r="S9" s="80">
        <v>0</v>
      </c>
      <c r="T9" s="80">
        <v>0</v>
      </c>
      <c r="U9" s="80">
        <v>0</v>
      </c>
    </row>
    <row r="10" spans="1:21" hidden="1" x14ac:dyDescent="0.2">
      <c r="A10" s="79" t="s">
        <v>148</v>
      </c>
      <c r="B10" s="79" t="s">
        <v>231</v>
      </c>
      <c r="C10" s="79" t="s">
        <v>148</v>
      </c>
      <c r="D10" s="79" t="s">
        <v>94</v>
      </c>
      <c r="E10" s="72">
        <v>0</v>
      </c>
      <c r="F10" s="72">
        <v>0</v>
      </c>
      <c r="G10" s="72">
        <v>0</v>
      </c>
      <c r="H10" s="72">
        <v>0</v>
      </c>
      <c r="I10" s="70">
        <v>0.13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80">
        <v>0</v>
      </c>
      <c r="S10" s="80">
        <v>0</v>
      </c>
      <c r="T10" s="80">
        <v>0</v>
      </c>
      <c r="U10" s="80">
        <v>-4.3497903721210207E-3</v>
      </c>
    </row>
    <row r="11" spans="1:21" hidden="1" x14ac:dyDescent="0.2">
      <c r="A11" s="79" t="s">
        <v>149</v>
      </c>
      <c r="B11" s="79" t="s">
        <v>231</v>
      </c>
      <c r="C11" s="79" t="s">
        <v>149</v>
      </c>
      <c r="D11" s="79" t="s">
        <v>96</v>
      </c>
      <c r="E11" s="70">
        <v>0.34</v>
      </c>
      <c r="F11" s="70">
        <v>0.42</v>
      </c>
      <c r="G11" s="70">
        <v>0.48</v>
      </c>
      <c r="H11" s="70">
        <v>0.48</v>
      </c>
      <c r="I11" s="70">
        <v>0.13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89">
        <v>0.34</v>
      </c>
      <c r="S11" s="89">
        <v>0.42</v>
      </c>
      <c r="T11" s="89">
        <v>0.48</v>
      </c>
      <c r="U11" s="89">
        <v>0.48</v>
      </c>
    </row>
    <row r="12" spans="1:21" hidden="1" x14ac:dyDescent="0.2">
      <c r="A12" s="79" t="s">
        <v>150</v>
      </c>
      <c r="B12" s="79" t="s">
        <v>231</v>
      </c>
      <c r="C12" s="79" t="s">
        <v>150</v>
      </c>
      <c r="D12" s="79" t="s">
        <v>95</v>
      </c>
      <c r="E12" s="72">
        <v>0</v>
      </c>
      <c r="F12" s="72">
        <v>0</v>
      </c>
      <c r="G12" s="72">
        <v>0</v>
      </c>
      <c r="H12" s="72">
        <v>0</v>
      </c>
      <c r="I12" s="70">
        <v>0.13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80">
        <v>0</v>
      </c>
      <c r="S12" s="80">
        <v>0</v>
      </c>
      <c r="T12" s="80">
        <v>0</v>
      </c>
      <c r="U12" s="80">
        <v>0</v>
      </c>
    </row>
    <row r="13" spans="1:21" hidden="1" x14ac:dyDescent="0.2">
      <c r="A13" s="79" t="s">
        <v>97</v>
      </c>
      <c r="B13" s="79" t="s">
        <v>97</v>
      </c>
      <c r="C13" s="79" t="s">
        <v>97</v>
      </c>
      <c r="D13" s="79" t="s">
        <v>97</v>
      </c>
      <c r="E13" s="70">
        <v>0.42</v>
      </c>
      <c r="F13" s="70">
        <v>0.6</v>
      </c>
      <c r="G13" s="70">
        <v>0.62</v>
      </c>
      <c r="H13" s="70">
        <v>0.62</v>
      </c>
      <c r="I13" s="70">
        <v>0.22</v>
      </c>
      <c r="J13" s="70">
        <v>0.25</v>
      </c>
      <c r="K13" s="70">
        <v>0.33</v>
      </c>
      <c r="L13" s="70">
        <v>0.11050000000000004</v>
      </c>
      <c r="M13" s="81">
        <v>0.42</v>
      </c>
      <c r="N13" s="81">
        <v>0.48</v>
      </c>
      <c r="O13" s="70">
        <v>0.12</v>
      </c>
      <c r="P13" s="70">
        <v>0.3</v>
      </c>
      <c r="Q13" s="70">
        <v>0.35</v>
      </c>
      <c r="R13" s="90">
        <v>0.42</v>
      </c>
      <c r="S13" s="90">
        <v>0.56000000000000005</v>
      </c>
      <c r="T13" s="90">
        <v>0.6</v>
      </c>
      <c r="U13" s="90">
        <v>0.56999999999999995</v>
      </c>
    </row>
    <row r="14" spans="1:21" hidden="1" x14ac:dyDescent="0.2">
      <c r="A14" s="79" t="s">
        <v>62</v>
      </c>
      <c r="B14" s="79" t="s">
        <v>62</v>
      </c>
      <c r="C14" s="79" t="s">
        <v>62</v>
      </c>
      <c r="D14" s="79" t="s">
        <v>80</v>
      </c>
      <c r="E14" s="72">
        <v>0.37</v>
      </c>
      <c r="F14" s="72">
        <v>0.5</v>
      </c>
      <c r="G14" s="70">
        <v>0.59</v>
      </c>
      <c r="H14" s="72">
        <v>0.5902961250732357</v>
      </c>
      <c r="I14" s="70">
        <v>0.18</v>
      </c>
      <c r="J14" s="70">
        <v>0.32</v>
      </c>
      <c r="K14" s="70">
        <v>0.33</v>
      </c>
      <c r="L14" s="70">
        <v>0</v>
      </c>
      <c r="M14" s="70">
        <v>0</v>
      </c>
      <c r="N14" s="70">
        <v>8.5800000000000098E-2</v>
      </c>
      <c r="O14" s="70">
        <v>0</v>
      </c>
      <c r="P14" s="70">
        <v>0</v>
      </c>
      <c r="Q14" s="70">
        <v>0</v>
      </c>
      <c r="R14" s="90">
        <v>0.24</v>
      </c>
      <c r="S14" s="90">
        <v>0.41</v>
      </c>
      <c r="T14" s="90">
        <v>0.47</v>
      </c>
      <c r="U14" s="90">
        <v>0.43</v>
      </c>
    </row>
    <row r="15" spans="1:21" hidden="1" x14ac:dyDescent="0.2">
      <c r="A15" s="79" t="s">
        <v>151</v>
      </c>
      <c r="B15" s="79" t="s">
        <v>232</v>
      </c>
      <c r="C15" s="79" t="s">
        <v>151</v>
      </c>
      <c r="D15" s="79" t="s">
        <v>109</v>
      </c>
      <c r="E15" s="72">
        <v>0.31</v>
      </c>
      <c r="F15" s="70">
        <v>0.45</v>
      </c>
      <c r="G15" s="70">
        <v>0.51</v>
      </c>
      <c r="H15" s="70">
        <v>0.51</v>
      </c>
      <c r="I15" s="70">
        <v>0.18</v>
      </c>
      <c r="J15" s="70">
        <v>0.32</v>
      </c>
      <c r="K15" s="70">
        <v>0.33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90">
        <v>0.28000000000000003</v>
      </c>
      <c r="S15" s="80">
        <v>0.45</v>
      </c>
      <c r="T15" s="90">
        <v>0.5</v>
      </c>
      <c r="U15" s="90">
        <v>0.46</v>
      </c>
    </row>
    <row r="16" spans="1:21" hidden="1" x14ac:dyDescent="0.2">
      <c r="A16" s="79" t="s">
        <v>152</v>
      </c>
      <c r="B16" s="79" t="s">
        <v>232</v>
      </c>
      <c r="C16" s="79" t="s">
        <v>152</v>
      </c>
      <c r="D16" s="79" t="s">
        <v>110</v>
      </c>
      <c r="E16" s="72">
        <v>0.27</v>
      </c>
      <c r="F16" s="70">
        <v>0.38800000000000001</v>
      </c>
      <c r="G16" s="70">
        <v>0.44739999999999991</v>
      </c>
      <c r="H16" s="70">
        <v>0.44739999999999991</v>
      </c>
      <c r="I16" s="70">
        <v>0.18</v>
      </c>
      <c r="J16" s="70">
        <v>0.32</v>
      </c>
      <c r="K16" s="70">
        <v>0.33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80">
        <v>0</v>
      </c>
      <c r="S16" s="80">
        <v>0</v>
      </c>
      <c r="T16" s="80">
        <v>0</v>
      </c>
      <c r="U16" s="80">
        <v>0</v>
      </c>
    </row>
    <row r="17" spans="1:21" hidden="1" x14ac:dyDescent="0.2">
      <c r="A17" s="79" t="s">
        <v>63</v>
      </c>
      <c r="B17" s="79" t="s">
        <v>81</v>
      </c>
      <c r="C17" s="79" t="s">
        <v>81</v>
      </c>
      <c r="D17" s="79" t="s">
        <v>81</v>
      </c>
      <c r="E17" s="70">
        <v>0.33</v>
      </c>
      <c r="F17" s="70">
        <v>0.57999999999999996</v>
      </c>
      <c r="G17" s="70">
        <v>0.63</v>
      </c>
      <c r="H17" s="70">
        <v>0.63</v>
      </c>
      <c r="I17" s="70">
        <v>0.18</v>
      </c>
      <c r="J17" s="70">
        <v>0.08</v>
      </c>
      <c r="K17" s="70">
        <v>0.61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90">
        <v>0.22</v>
      </c>
      <c r="S17" s="90">
        <v>0.41</v>
      </c>
      <c r="T17" s="90">
        <v>0.46</v>
      </c>
      <c r="U17" s="90">
        <v>0.42</v>
      </c>
    </row>
    <row r="18" spans="1:21" x14ac:dyDescent="0.2">
      <c r="A18" s="79" t="s">
        <v>52</v>
      </c>
      <c r="B18" s="79" t="s">
        <v>52</v>
      </c>
      <c r="C18" s="79" t="s">
        <v>52</v>
      </c>
      <c r="D18" s="79" t="s">
        <v>52</v>
      </c>
      <c r="E18" s="72">
        <v>0.5</v>
      </c>
      <c r="F18" s="72">
        <v>0.63</v>
      </c>
      <c r="G18" s="71">
        <v>0.65</v>
      </c>
      <c r="H18" s="71">
        <v>0.65</v>
      </c>
      <c r="I18" s="70">
        <v>0.33</v>
      </c>
      <c r="J18" s="70">
        <v>0.4</v>
      </c>
      <c r="K18" s="70">
        <v>0.33</v>
      </c>
      <c r="L18" s="70">
        <v>0.28150000000000008</v>
      </c>
      <c r="M18" s="70">
        <v>0.45</v>
      </c>
      <c r="N18" s="81">
        <v>0.48</v>
      </c>
      <c r="O18" s="70">
        <v>0.24350000000000005</v>
      </c>
      <c r="P18" s="81">
        <v>0.48</v>
      </c>
      <c r="Q18" s="81">
        <v>0.48</v>
      </c>
      <c r="R18" s="89">
        <v>0.5</v>
      </c>
      <c r="S18" s="89">
        <v>0.63</v>
      </c>
      <c r="T18" s="89">
        <v>0.65</v>
      </c>
      <c r="U18" s="89">
        <v>0.65</v>
      </c>
    </row>
    <row r="19" spans="1:21" hidden="1" x14ac:dyDescent="0.2">
      <c r="A19" s="79" t="s">
        <v>153</v>
      </c>
      <c r="B19" s="79" t="s">
        <v>153</v>
      </c>
      <c r="C19" s="79" t="s">
        <v>153</v>
      </c>
      <c r="D19" s="79" t="s">
        <v>113</v>
      </c>
      <c r="E19" s="70">
        <v>0.42</v>
      </c>
      <c r="F19" s="71">
        <v>0.65</v>
      </c>
      <c r="G19" s="70">
        <v>0.65</v>
      </c>
      <c r="H19" s="70">
        <v>0.65</v>
      </c>
      <c r="I19" s="70">
        <v>0</v>
      </c>
      <c r="J19" s="70">
        <v>0</v>
      </c>
      <c r="K19" s="70">
        <v>0</v>
      </c>
      <c r="L19" s="70">
        <v>0</v>
      </c>
      <c r="M19" s="70">
        <v>0.1</v>
      </c>
      <c r="N19" s="70">
        <v>0.25</v>
      </c>
      <c r="O19" s="70">
        <v>0</v>
      </c>
      <c r="P19" s="70">
        <v>0.1</v>
      </c>
      <c r="Q19" s="70">
        <v>0.25</v>
      </c>
      <c r="R19" s="80">
        <v>0.42</v>
      </c>
      <c r="S19" s="90">
        <v>0.6</v>
      </c>
      <c r="T19" s="80">
        <v>0.65</v>
      </c>
      <c r="U19" s="80">
        <v>0.65</v>
      </c>
    </row>
    <row r="20" spans="1:21" hidden="1" x14ac:dyDescent="0.2">
      <c r="A20" s="79" t="s">
        <v>154</v>
      </c>
      <c r="B20" s="79" t="s">
        <v>233</v>
      </c>
      <c r="C20" s="79" t="s">
        <v>154</v>
      </c>
      <c r="D20" s="79" t="s">
        <v>116</v>
      </c>
      <c r="E20" s="71">
        <v>0.4</v>
      </c>
      <c r="F20" s="70">
        <v>0.65</v>
      </c>
      <c r="G20" s="70">
        <v>0.65</v>
      </c>
      <c r="H20" s="70">
        <v>0.65</v>
      </c>
      <c r="I20" s="70">
        <v>0</v>
      </c>
      <c r="J20" s="70">
        <v>0</v>
      </c>
      <c r="K20" s="70">
        <v>0</v>
      </c>
      <c r="L20" s="70">
        <v>0</v>
      </c>
      <c r="M20" s="70">
        <v>0.25</v>
      </c>
      <c r="N20" s="70">
        <v>0.35</v>
      </c>
      <c r="O20" s="70">
        <v>0</v>
      </c>
      <c r="P20" s="70">
        <v>0.25</v>
      </c>
      <c r="Q20" s="70">
        <v>0.35</v>
      </c>
      <c r="R20" s="90">
        <v>0.35</v>
      </c>
      <c r="S20" s="90">
        <v>0.5</v>
      </c>
      <c r="T20" s="90">
        <v>0.56000000000000005</v>
      </c>
      <c r="U20" s="90">
        <v>0.52</v>
      </c>
    </row>
    <row r="21" spans="1:21" hidden="1" x14ac:dyDescent="0.2">
      <c r="A21" s="79" t="s">
        <v>224</v>
      </c>
      <c r="B21" s="79" t="s">
        <v>233</v>
      </c>
      <c r="C21" s="79" t="s">
        <v>155</v>
      </c>
      <c r="D21" s="79" t="s">
        <v>114</v>
      </c>
      <c r="E21" s="71">
        <v>0.4</v>
      </c>
      <c r="F21" s="70">
        <v>0.65</v>
      </c>
      <c r="G21" s="70">
        <v>0.65</v>
      </c>
      <c r="H21" s="70">
        <v>0.65</v>
      </c>
      <c r="I21" s="70">
        <v>0</v>
      </c>
      <c r="J21" s="70">
        <v>0</v>
      </c>
      <c r="K21" s="70">
        <v>0</v>
      </c>
      <c r="L21" s="70">
        <v>0</v>
      </c>
      <c r="M21" s="70">
        <v>0.25</v>
      </c>
      <c r="N21" s="70">
        <v>0.35</v>
      </c>
      <c r="O21" s="70">
        <v>0</v>
      </c>
      <c r="P21" s="70">
        <v>0.25</v>
      </c>
      <c r="Q21" s="70">
        <v>0.35</v>
      </c>
      <c r="R21" s="90">
        <v>0.35</v>
      </c>
      <c r="S21" s="90">
        <v>0.52</v>
      </c>
      <c r="T21" s="90">
        <v>0.56999999999999995</v>
      </c>
      <c r="U21" s="90">
        <v>0.54</v>
      </c>
    </row>
    <row r="22" spans="1:21" hidden="1" x14ac:dyDescent="0.2">
      <c r="A22" s="79" t="s">
        <v>157</v>
      </c>
      <c r="B22" s="79" t="s">
        <v>233</v>
      </c>
      <c r="C22" s="79" t="s">
        <v>157</v>
      </c>
      <c r="D22" s="79" t="s">
        <v>115</v>
      </c>
      <c r="E22" s="70">
        <v>0.48199999999999998</v>
      </c>
      <c r="F22" s="70">
        <v>0.65</v>
      </c>
      <c r="G22" s="70">
        <v>0.65</v>
      </c>
      <c r="H22" s="70">
        <v>0.65</v>
      </c>
      <c r="I22" s="70">
        <v>0</v>
      </c>
      <c r="J22" s="70">
        <v>0</v>
      </c>
      <c r="K22" s="70">
        <v>0</v>
      </c>
      <c r="L22" s="70">
        <v>0</v>
      </c>
      <c r="M22" s="70">
        <v>0.25</v>
      </c>
      <c r="N22" s="70">
        <v>0.35</v>
      </c>
      <c r="O22" s="70">
        <v>0</v>
      </c>
      <c r="P22" s="70">
        <v>0.25</v>
      </c>
      <c r="Q22" s="70">
        <v>0.35</v>
      </c>
      <c r="R22" s="90">
        <v>0.4</v>
      </c>
      <c r="S22" s="80">
        <v>0.65</v>
      </c>
      <c r="T22" s="80">
        <v>0.65</v>
      </c>
      <c r="U22" s="80">
        <v>0.65</v>
      </c>
    </row>
    <row r="23" spans="1:21" hidden="1" x14ac:dyDescent="0.2">
      <c r="A23" s="79" t="s">
        <v>225</v>
      </c>
      <c r="B23" s="79" t="s">
        <v>234</v>
      </c>
      <c r="C23" s="79" t="s">
        <v>156</v>
      </c>
      <c r="D23" s="79" t="s">
        <v>114</v>
      </c>
      <c r="E23" s="71">
        <v>0.4</v>
      </c>
      <c r="F23" s="70">
        <v>0.57999999999999996</v>
      </c>
      <c r="G23" s="71">
        <v>0.62</v>
      </c>
      <c r="H23" s="71">
        <v>0.59</v>
      </c>
      <c r="I23" s="70">
        <v>0</v>
      </c>
      <c r="J23" s="70">
        <v>0</v>
      </c>
      <c r="K23" s="70">
        <v>0</v>
      </c>
      <c r="L23" s="70">
        <v>0</v>
      </c>
      <c r="M23" s="70">
        <v>0.1</v>
      </c>
      <c r="N23" s="70">
        <v>0.28999999999999998</v>
      </c>
      <c r="O23" s="70">
        <v>0</v>
      </c>
      <c r="P23" s="81">
        <v>0.1</v>
      </c>
      <c r="Q23" s="70">
        <v>0.27</v>
      </c>
      <c r="R23" s="90">
        <v>0.15</v>
      </c>
      <c r="S23" s="90">
        <v>0.37</v>
      </c>
      <c r="T23" s="90">
        <v>0.43</v>
      </c>
      <c r="U23" s="90">
        <v>0.39</v>
      </c>
    </row>
    <row r="24" spans="1:21" hidden="1" x14ac:dyDescent="0.2">
      <c r="A24" s="79" t="s">
        <v>158</v>
      </c>
      <c r="B24" s="79" t="s">
        <v>235</v>
      </c>
      <c r="C24" s="79" t="s">
        <v>158</v>
      </c>
      <c r="D24" s="79" t="s">
        <v>64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80">
        <v>0</v>
      </c>
      <c r="S24" s="80">
        <v>0</v>
      </c>
      <c r="T24" s="80">
        <v>0</v>
      </c>
      <c r="U24" s="80">
        <v>0</v>
      </c>
    </row>
    <row r="25" spans="1:21" hidden="1" x14ac:dyDescent="0.2">
      <c r="A25" s="79" t="s">
        <v>159</v>
      </c>
      <c r="B25" s="79" t="s">
        <v>236</v>
      </c>
      <c r="C25" s="79" t="s">
        <v>159</v>
      </c>
      <c r="D25" s="79" t="s">
        <v>65</v>
      </c>
      <c r="E25" s="72">
        <v>0.42</v>
      </c>
      <c r="F25" s="70">
        <v>0.59</v>
      </c>
      <c r="G25" s="71">
        <v>0.61</v>
      </c>
      <c r="H25" s="71">
        <v>0.61</v>
      </c>
      <c r="I25" s="70">
        <v>0.33</v>
      </c>
      <c r="J25" s="70">
        <v>0.28000000000000003</v>
      </c>
      <c r="K25" s="70">
        <v>0.33</v>
      </c>
      <c r="L25" s="70">
        <v>0.10100000000000009</v>
      </c>
      <c r="M25" s="70">
        <v>0.43</v>
      </c>
      <c r="N25" s="70">
        <v>0.47</v>
      </c>
      <c r="O25" s="70">
        <v>5.3499999999999992E-2</v>
      </c>
      <c r="P25" s="70">
        <v>0.44</v>
      </c>
      <c r="Q25" s="70">
        <v>0.44</v>
      </c>
      <c r="R25" s="90">
        <v>0.42</v>
      </c>
      <c r="S25" s="90">
        <v>0.55000000000000004</v>
      </c>
      <c r="T25" s="90">
        <v>0.59</v>
      </c>
      <c r="U25" s="90">
        <v>0.56999999999999995</v>
      </c>
    </row>
    <row r="26" spans="1:21" hidden="1" x14ac:dyDescent="0.2">
      <c r="A26" s="79" t="s">
        <v>160</v>
      </c>
      <c r="B26" s="79" t="s">
        <v>236</v>
      </c>
      <c r="C26" s="79" t="s">
        <v>160</v>
      </c>
      <c r="D26" s="79" t="s">
        <v>66</v>
      </c>
      <c r="E26" s="72">
        <v>0.41</v>
      </c>
      <c r="F26" s="72">
        <v>0.56000000000000005</v>
      </c>
      <c r="G26" s="71">
        <v>0.64</v>
      </c>
      <c r="H26" s="71">
        <v>0.61</v>
      </c>
      <c r="I26" s="70">
        <v>0.33</v>
      </c>
      <c r="J26" s="70">
        <v>0.4</v>
      </c>
      <c r="K26" s="70">
        <v>0.33</v>
      </c>
      <c r="L26" s="70">
        <v>0.10100000000000009</v>
      </c>
      <c r="M26" s="70">
        <v>0.43</v>
      </c>
      <c r="N26" s="70">
        <v>0.47</v>
      </c>
      <c r="O26" s="70">
        <v>5.3499999999999992E-2</v>
      </c>
      <c r="P26" s="70">
        <v>0.44</v>
      </c>
      <c r="Q26" s="70">
        <v>0.44</v>
      </c>
      <c r="R26" s="90">
        <v>0.28000000000000003</v>
      </c>
      <c r="S26" s="90">
        <v>0.42</v>
      </c>
      <c r="T26" s="90">
        <v>0.47</v>
      </c>
      <c r="U26" s="90">
        <v>0.44</v>
      </c>
    </row>
    <row r="27" spans="1:21" hidden="1" x14ac:dyDescent="0.2">
      <c r="A27" s="79" t="s">
        <v>161</v>
      </c>
      <c r="B27" s="79" t="s">
        <v>82</v>
      </c>
      <c r="C27" s="79" t="s">
        <v>161</v>
      </c>
      <c r="D27" s="79" t="s">
        <v>67</v>
      </c>
      <c r="E27" s="72">
        <v>0.35</v>
      </c>
      <c r="F27" s="72">
        <v>0.59</v>
      </c>
      <c r="G27" s="71">
        <v>0.62</v>
      </c>
      <c r="H27" s="71">
        <v>0.62</v>
      </c>
      <c r="I27" s="70">
        <v>0.33</v>
      </c>
      <c r="J27" s="70">
        <v>0.4</v>
      </c>
      <c r="K27" s="70">
        <v>0</v>
      </c>
      <c r="L27" s="70">
        <v>0</v>
      </c>
      <c r="M27" s="70">
        <v>0.45</v>
      </c>
      <c r="N27" s="70">
        <v>0.48</v>
      </c>
      <c r="O27" s="70">
        <v>0</v>
      </c>
      <c r="P27" s="70">
        <v>0.43</v>
      </c>
      <c r="Q27" s="70">
        <v>0.43</v>
      </c>
      <c r="R27" s="90">
        <v>0.15</v>
      </c>
      <c r="S27" s="90">
        <v>0.38</v>
      </c>
      <c r="T27" s="90">
        <v>0.45</v>
      </c>
      <c r="U27" s="90">
        <v>0.41</v>
      </c>
    </row>
    <row r="28" spans="1:21" hidden="1" x14ac:dyDescent="0.2">
      <c r="A28" s="79" t="s">
        <v>162</v>
      </c>
      <c r="B28" s="79" t="s">
        <v>82</v>
      </c>
      <c r="C28" s="79" t="s">
        <v>162</v>
      </c>
      <c r="D28" s="79" t="s">
        <v>68</v>
      </c>
      <c r="E28" s="72">
        <v>0.48</v>
      </c>
      <c r="F28" s="71">
        <v>0.62</v>
      </c>
      <c r="G28" s="71">
        <v>0.62</v>
      </c>
      <c r="H28" s="71">
        <v>0.62</v>
      </c>
      <c r="I28" s="70">
        <v>0.33</v>
      </c>
      <c r="J28" s="70">
        <v>0.4</v>
      </c>
      <c r="K28" s="70">
        <v>0</v>
      </c>
      <c r="L28" s="70">
        <v>0</v>
      </c>
      <c r="M28" s="70">
        <v>0.45</v>
      </c>
      <c r="N28" s="70">
        <v>0.48</v>
      </c>
      <c r="O28" s="70">
        <v>0</v>
      </c>
      <c r="P28" s="70">
        <v>0.43</v>
      </c>
      <c r="Q28" s="70">
        <v>0.43</v>
      </c>
      <c r="R28" s="90">
        <v>0.4</v>
      </c>
      <c r="S28" s="90">
        <v>0.53</v>
      </c>
      <c r="T28" s="90">
        <v>0.59</v>
      </c>
      <c r="U28" s="90">
        <v>0.56999999999999995</v>
      </c>
    </row>
    <row r="29" spans="1:21" hidden="1" x14ac:dyDescent="0.2">
      <c r="A29" s="79" t="s">
        <v>98</v>
      </c>
      <c r="B29" s="79" t="s">
        <v>98</v>
      </c>
      <c r="C29" s="79" t="s">
        <v>98</v>
      </c>
      <c r="D29" s="79" t="s">
        <v>98</v>
      </c>
      <c r="E29" s="72">
        <v>0.44</v>
      </c>
      <c r="F29" s="71">
        <v>0.59</v>
      </c>
      <c r="G29" s="70">
        <v>0.62</v>
      </c>
      <c r="H29" s="70">
        <v>0.62</v>
      </c>
      <c r="I29" s="70">
        <v>0.22</v>
      </c>
      <c r="J29" s="70">
        <v>0.27</v>
      </c>
      <c r="K29" s="70">
        <v>0.33</v>
      </c>
      <c r="L29" s="70">
        <v>0</v>
      </c>
      <c r="M29" s="70">
        <v>0.46</v>
      </c>
      <c r="N29" s="81">
        <v>0.49</v>
      </c>
      <c r="O29" s="70">
        <v>0.19600000000000006</v>
      </c>
      <c r="P29" s="70">
        <v>0.25</v>
      </c>
      <c r="Q29" s="81">
        <v>0.49</v>
      </c>
      <c r="R29" s="90">
        <v>0.34</v>
      </c>
      <c r="S29" s="90">
        <v>0.46</v>
      </c>
      <c r="T29" s="90">
        <v>0.51</v>
      </c>
      <c r="U29" s="90">
        <v>0.47</v>
      </c>
    </row>
    <row r="30" spans="1:21" hidden="1" x14ac:dyDescent="0.2">
      <c r="A30" s="79" t="s">
        <v>163</v>
      </c>
      <c r="B30" s="79" t="s">
        <v>237</v>
      </c>
      <c r="C30" s="79" t="s">
        <v>163</v>
      </c>
      <c r="D30" s="79" t="s">
        <v>11</v>
      </c>
      <c r="E30" s="70">
        <v>0.31</v>
      </c>
      <c r="F30" s="71">
        <v>0.67</v>
      </c>
      <c r="G30" s="70">
        <v>0.67</v>
      </c>
      <c r="H30" s="70">
        <v>0.67</v>
      </c>
      <c r="I30" s="70">
        <v>0.08</v>
      </c>
      <c r="J30" s="70">
        <v>0.18</v>
      </c>
      <c r="K30" s="70">
        <v>0.15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90">
        <v>0.2</v>
      </c>
      <c r="S30" s="90">
        <v>0.43</v>
      </c>
      <c r="T30" s="90">
        <v>0.5</v>
      </c>
      <c r="U30" s="90">
        <v>0.46</v>
      </c>
    </row>
    <row r="31" spans="1:21" hidden="1" x14ac:dyDescent="0.2">
      <c r="A31" s="79" t="s">
        <v>164</v>
      </c>
      <c r="B31" s="79" t="s">
        <v>237</v>
      </c>
      <c r="C31" s="79" t="s">
        <v>164</v>
      </c>
      <c r="D31" s="79" t="s">
        <v>13</v>
      </c>
      <c r="E31" s="70">
        <v>0.2</v>
      </c>
      <c r="F31" s="70">
        <v>0.64</v>
      </c>
      <c r="G31" s="70">
        <v>0.64</v>
      </c>
      <c r="H31" s="70">
        <v>0.64</v>
      </c>
      <c r="I31" s="70">
        <v>0.08</v>
      </c>
      <c r="J31" s="70">
        <v>0.13</v>
      </c>
      <c r="K31" s="70">
        <v>0.1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90">
        <v>0.2</v>
      </c>
      <c r="S31" s="90">
        <v>0.52</v>
      </c>
      <c r="T31" s="90">
        <v>0.6</v>
      </c>
      <c r="U31" s="90">
        <v>0.57999999999999996</v>
      </c>
    </row>
    <row r="32" spans="1:21" hidden="1" x14ac:dyDescent="0.2">
      <c r="A32" s="79" t="s">
        <v>165</v>
      </c>
      <c r="B32" s="79" t="s">
        <v>237</v>
      </c>
      <c r="C32" s="79" t="s">
        <v>165</v>
      </c>
      <c r="D32" s="79" t="s">
        <v>12</v>
      </c>
      <c r="E32" s="70">
        <v>0.31</v>
      </c>
      <c r="F32" s="70">
        <v>0.64</v>
      </c>
      <c r="G32" s="70">
        <v>0.64</v>
      </c>
      <c r="H32" s="70">
        <v>0.64</v>
      </c>
      <c r="I32" s="70">
        <v>0.08</v>
      </c>
      <c r="J32" s="70">
        <v>0.18</v>
      </c>
      <c r="K32" s="70">
        <v>0.15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90">
        <v>0.23</v>
      </c>
      <c r="S32" s="90">
        <v>0.45</v>
      </c>
      <c r="T32" s="90">
        <v>0.51</v>
      </c>
      <c r="U32" s="90">
        <v>0.48</v>
      </c>
    </row>
    <row r="33" spans="1:21" hidden="1" x14ac:dyDescent="0.2">
      <c r="A33" s="79" t="s">
        <v>166</v>
      </c>
      <c r="B33" s="79" t="s">
        <v>237</v>
      </c>
      <c r="C33" s="79" t="s">
        <v>166</v>
      </c>
      <c r="D33" s="79" t="s">
        <v>13</v>
      </c>
      <c r="E33" s="70">
        <v>0</v>
      </c>
      <c r="F33" s="70">
        <v>0</v>
      </c>
      <c r="G33" s="70">
        <v>0</v>
      </c>
      <c r="H33" s="70">
        <v>0</v>
      </c>
      <c r="I33" s="70">
        <v>0.08</v>
      </c>
      <c r="J33" s="70">
        <v>0.13</v>
      </c>
      <c r="K33" s="70">
        <v>0.1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80">
        <v>0</v>
      </c>
      <c r="S33" s="80">
        <v>0</v>
      </c>
      <c r="T33" s="80">
        <v>0</v>
      </c>
      <c r="U33" s="80">
        <v>0</v>
      </c>
    </row>
    <row r="34" spans="1:21" hidden="1" x14ac:dyDescent="0.2">
      <c r="A34" s="79" t="s">
        <v>167</v>
      </c>
      <c r="B34" s="79" t="s">
        <v>238</v>
      </c>
      <c r="C34" s="79" t="s">
        <v>167</v>
      </c>
      <c r="D34" s="79" t="s">
        <v>14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80">
        <v>0</v>
      </c>
      <c r="S34" s="80">
        <v>0</v>
      </c>
      <c r="T34" s="80">
        <v>0</v>
      </c>
      <c r="U34" s="80">
        <v>0</v>
      </c>
    </row>
    <row r="35" spans="1:21" hidden="1" x14ac:dyDescent="0.2">
      <c r="A35" s="79" t="s">
        <v>168</v>
      </c>
      <c r="B35" s="79" t="s">
        <v>238</v>
      </c>
      <c r="C35" s="79" t="s">
        <v>168</v>
      </c>
      <c r="D35" s="79" t="s">
        <v>15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80">
        <v>0</v>
      </c>
      <c r="S35" s="80">
        <v>0</v>
      </c>
      <c r="T35" s="80">
        <v>0</v>
      </c>
      <c r="U35" s="80">
        <v>0</v>
      </c>
    </row>
    <row r="36" spans="1:21" hidden="1" x14ac:dyDescent="0.2">
      <c r="A36" s="79" t="s">
        <v>169</v>
      </c>
      <c r="B36" s="79" t="s">
        <v>238</v>
      </c>
      <c r="C36" s="79" t="s">
        <v>169</v>
      </c>
      <c r="D36" s="79" t="s">
        <v>16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80">
        <v>0</v>
      </c>
      <c r="S36" s="80">
        <v>0</v>
      </c>
      <c r="T36" s="80">
        <v>0</v>
      </c>
      <c r="U36" s="80">
        <v>0</v>
      </c>
    </row>
    <row r="37" spans="1:21" hidden="1" x14ac:dyDescent="0.2">
      <c r="A37" s="79" t="s">
        <v>170</v>
      </c>
      <c r="B37" s="79" t="s">
        <v>238</v>
      </c>
      <c r="C37" s="79" t="s">
        <v>170</v>
      </c>
      <c r="D37" s="79" t="s">
        <v>16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80">
        <v>0</v>
      </c>
      <c r="S37" s="80">
        <v>0</v>
      </c>
      <c r="T37" s="80">
        <v>0</v>
      </c>
      <c r="U37" s="80">
        <v>0</v>
      </c>
    </row>
    <row r="38" spans="1:21" hidden="1" x14ac:dyDescent="0.2">
      <c r="A38" s="79" t="s">
        <v>171</v>
      </c>
      <c r="B38" s="79" t="s">
        <v>54</v>
      </c>
      <c r="C38" s="79" t="s">
        <v>171</v>
      </c>
      <c r="D38" s="79" t="s">
        <v>53</v>
      </c>
      <c r="E38" s="70">
        <v>0.27</v>
      </c>
      <c r="F38" s="70">
        <v>0.42</v>
      </c>
      <c r="G38" s="70">
        <v>0.41</v>
      </c>
      <c r="H38" s="70">
        <v>0.41</v>
      </c>
      <c r="I38" s="70">
        <v>0.1</v>
      </c>
      <c r="J38" s="70">
        <v>0.1</v>
      </c>
      <c r="K38" s="70">
        <v>0.18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80">
        <v>6.0887880882820156E-2</v>
      </c>
      <c r="S38" s="80">
        <v>0.3343342452096667</v>
      </c>
      <c r="T38" s="80">
        <v>0.40762357083718015</v>
      </c>
      <c r="U38" s="80">
        <v>0.35647858464476512</v>
      </c>
    </row>
    <row r="39" spans="1:21" hidden="1" x14ac:dyDescent="0.2">
      <c r="A39" s="79" t="s">
        <v>172</v>
      </c>
      <c r="B39" s="79" t="s">
        <v>54</v>
      </c>
      <c r="C39" s="79" t="s">
        <v>172</v>
      </c>
      <c r="D39" s="79" t="s">
        <v>55</v>
      </c>
      <c r="E39" s="70">
        <v>0</v>
      </c>
      <c r="F39" s="70">
        <v>0.24</v>
      </c>
      <c r="G39" s="70">
        <v>0.32</v>
      </c>
      <c r="H39" s="70">
        <v>0.25</v>
      </c>
      <c r="I39" s="70">
        <v>0.1</v>
      </c>
      <c r="J39" s="70">
        <v>0.1</v>
      </c>
      <c r="K39" s="70">
        <v>0.18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80">
        <v>0</v>
      </c>
      <c r="S39" s="80">
        <v>0</v>
      </c>
      <c r="T39" s="80">
        <v>3.5545833932589699E-2</v>
      </c>
      <c r="U39" s="80">
        <v>0</v>
      </c>
    </row>
    <row r="40" spans="1:21" hidden="1" x14ac:dyDescent="0.2">
      <c r="A40" s="79" t="s">
        <v>173</v>
      </c>
      <c r="B40" s="79" t="s">
        <v>54</v>
      </c>
      <c r="C40" s="79" t="s">
        <v>173</v>
      </c>
      <c r="D40" s="79" t="s">
        <v>56</v>
      </c>
      <c r="E40" s="70">
        <v>0.17</v>
      </c>
      <c r="F40" s="70">
        <v>0.38</v>
      </c>
      <c r="G40" s="70">
        <v>0.41239999999999999</v>
      </c>
      <c r="H40" s="70">
        <v>0.4</v>
      </c>
      <c r="I40" s="70">
        <v>0.1</v>
      </c>
      <c r="J40" s="70">
        <v>0.1</v>
      </c>
      <c r="K40" s="70">
        <v>0.18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80">
        <v>0</v>
      </c>
      <c r="S40" s="80">
        <v>0.14831099955391513</v>
      </c>
      <c r="T40" s="80">
        <v>0.23994965167771343</v>
      </c>
      <c r="U40" s="80">
        <v>0.17365762438057775</v>
      </c>
    </row>
    <row r="41" spans="1:21" x14ac:dyDescent="0.2">
      <c r="A41" s="79" t="s">
        <v>174</v>
      </c>
      <c r="B41" s="79" t="s">
        <v>239</v>
      </c>
      <c r="C41" s="79" t="s">
        <v>174</v>
      </c>
      <c r="D41" s="79" t="s">
        <v>57</v>
      </c>
      <c r="E41" s="70">
        <v>0.5</v>
      </c>
      <c r="F41" s="70">
        <v>0.7</v>
      </c>
      <c r="G41" s="70">
        <v>0.7</v>
      </c>
      <c r="H41" s="70">
        <v>0.7</v>
      </c>
      <c r="I41" s="70">
        <v>0.3</v>
      </c>
      <c r="J41" s="70">
        <v>0.33</v>
      </c>
      <c r="K41" s="70">
        <v>0.33</v>
      </c>
      <c r="L41" s="70">
        <v>0</v>
      </c>
      <c r="M41" s="81">
        <v>0.49</v>
      </c>
      <c r="N41" s="81">
        <v>0.49</v>
      </c>
      <c r="O41" s="70">
        <v>8.2000000000000073E-2</v>
      </c>
      <c r="P41" s="81">
        <v>0.49</v>
      </c>
      <c r="Q41" s="81">
        <v>0.49</v>
      </c>
      <c r="R41" s="90">
        <v>0.5</v>
      </c>
      <c r="S41" s="90">
        <v>0.65</v>
      </c>
      <c r="T41" s="90">
        <v>0.68</v>
      </c>
      <c r="U41" s="90">
        <v>0.68</v>
      </c>
    </row>
    <row r="42" spans="1:21" x14ac:dyDescent="0.2">
      <c r="A42" s="79" t="s">
        <v>175</v>
      </c>
      <c r="B42" s="79" t="s">
        <v>239</v>
      </c>
      <c r="C42" s="79" t="s">
        <v>175</v>
      </c>
      <c r="D42" s="79" t="s">
        <v>61</v>
      </c>
      <c r="E42" s="70">
        <v>0.5</v>
      </c>
      <c r="F42" s="70">
        <v>0.7</v>
      </c>
      <c r="G42" s="70">
        <v>0.7</v>
      </c>
      <c r="H42" s="70">
        <v>0.7</v>
      </c>
      <c r="I42" s="70">
        <v>0.3</v>
      </c>
      <c r="J42" s="70">
        <v>0.33</v>
      </c>
      <c r="K42" s="70">
        <v>0.33</v>
      </c>
      <c r="L42" s="70">
        <v>0</v>
      </c>
      <c r="M42" s="81">
        <v>0.49</v>
      </c>
      <c r="N42" s="81">
        <v>0.49</v>
      </c>
      <c r="O42" s="70">
        <v>8.2000000000000073E-2</v>
      </c>
      <c r="P42" s="81">
        <v>0.49</v>
      </c>
      <c r="Q42" s="81">
        <v>0.49</v>
      </c>
      <c r="R42" s="90">
        <v>0.5</v>
      </c>
      <c r="S42" s="90">
        <v>0.65</v>
      </c>
      <c r="T42" s="90">
        <v>0.68</v>
      </c>
      <c r="U42" s="90">
        <v>0.68</v>
      </c>
    </row>
    <row r="43" spans="1:21" x14ac:dyDescent="0.2">
      <c r="A43" s="79" t="s">
        <v>176</v>
      </c>
      <c r="B43" s="79" t="s">
        <v>240</v>
      </c>
      <c r="C43" s="79" t="s">
        <v>176</v>
      </c>
      <c r="D43" s="79" t="s">
        <v>59</v>
      </c>
      <c r="E43" s="71">
        <v>0.37</v>
      </c>
      <c r="F43" s="70">
        <v>0.68</v>
      </c>
      <c r="G43" s="70">
        <v>0.68</v>
      </c>
      <c r="H43" s="70">
        <v>0.68</v>
      </c>
      <c r="I43" s="70">
        <v>0.3</v>
      </c>
      <c r="J43" s="70">
        <v>0.33</v>
      </c>
      <c r="K43" s="70">
        <v>0.33</v>
      </c>
      <c r="L43" s="70">
        <v>0</v>
      </c>
      <c r="M43" s="70">
        <v>0.25</v>
      </c>
      <c r="N43" s="70">
        <v>0.45</v>
      </c>
      <c r="O43" s="70">
        <v>8.2000000000000073E-2</v>
      </c>
      <c r="P43" s="70">
        <v>0.25</v>
      </c>
      <c r="Q43" s="70">
        <v>0.44</v>
      </c>
      <c r="R43" s="90">
        <v>0.35</v>
      </c>
      <c r="S43" s="90">
        <v>0.5</v>
      </c>
      <c r="T43" s="90">
        <v>0.55000000000000004</v>
      </c>
      <c r="U43" s="90">
        <v>0.5</v>
      </c>
    </row>
    <row r="44" spans="1:21" x14ac:dyDescent="0.2">
      <c r="A44" s="79" t="s">
        <v>177</v>
      </c>
      <c r="B44" s="79" t="s">
        <v>239</v>
      </c>
      <c r="C44" s="79" t="s">
        <v>177</v>
      </c>
      <c r="D44" s="79" t="s">
        <v>60</v>
      </c>
      <c r="E44" s="71">
        <v>0.37</v>
      </c>
      <c r="F44" s="70">
        <v>0.68</v>
      </c>
      <c r="G44" s="70">
        <v>0.68</v>
      </c>
      <c r="H44" s="70">
        <v>0.68</v>
      </c>
      <c r="I44" s="70">
        <v>0.27</v>
      </c>
      <c r="J44" s="70">
        <v>0.27</v>
      </c>
      <c r="K44" s="70">
        <v>0.33</v>
      </c>
      <c r="L44" s="70">
        <v>0</v>
      </c>
      <c r="M44" s="81">
        <v>0.49</v>
      </c>
      <c r="N44" s="81">
        <v>0.49</v>
      </c>
      <c r="O44" s="70">
        <v>8.2000000000000073E-2</v>
      </c>
      <c r="P44" s="81">
        <v>0.49</v>
      </c>
      <c r="Q44" s="81">
        <v>0.49</v>
      </c>
      <c r="R44" s="89">
        <v>0.37</v>
      </c>
      <c r="S44" s="90">
        <v>0.65</v>
      </c>
      <c r="T44" s="89">
        <v>0.68</v>
      </c>
      <c r="U44" s="89">
        <v>0.68</v>
      </c>
    </row>
    <row r="45" spans="1:21" x14ac:dyDescent="0.2">
      <c r="A45" s="79" t="s">
        <v>178</v>
      </c>
      <c r="B45" s="79" t="s">
        <v>241</v>
      </c>
      <c r="C45" s="79" t="s">
        <v>178</v>
      </c>
      <c r="D45" s="79" t="s">
        <v>60</v>
      </c>
      <c r="E45" s="71">
        <v>0.37</v>
      </c>
      <c r="F45" s="70">
        <v>0.68</v>
      </c>
      <c r="G45" s="70">
        <v>0.68</v>
      </c>
      <c r="H45" s="70">
        <v>0.68</v>
      </c>
      <c r="I45" s="70">
        <v>0.27</v>
      </c>
      <c r="J45" s="70">
        <v>0.27</v>
      </c>
      <c r="K45" s="70">
        <v>0.33</v>
      </c>
      <c r="L45" s="70">
        <v>0</v>
      </c>
      <c r="M45" s="70">
        <v>0.25</v>
      </c>
      <c r="N45" s="70">
        <v>0.46</v>
      </c>
      <c r="O45" s="70">
        <v>8.2000000000000073E-2</v>
      </c>
      <c r="P45" s="70">
        <v>0.25</v>
      </c>
      <c r="Q45" s="70">
        <v>0.45</v>
      </c>
      <c r="R45" s="90">
        <v>0.37</v>
      </c>
      <c r="S45" s="90">
        <v>0.5</v>
      </c>
      <c r="T45" s="90">
        <v>0.56999999999999995</v>
      </c>
      <c r="U45" s="90">
        <v>0.54</v>
      </c>
    </row>
    <row r="46" spans="1:21" x14ac:dyDescent="0.2">
      <c r="A46" s="79" t="s">
        <v>179</v>
      </c>
      <c r="B46" s="79" t="s">
        <v>241</v>
      </c>
      <c r="C46" s="79" t="s">
        <v>179</v>
      </c>
      <c r="D46" s="79" t="s">
        <v>60</v>
      </c>
      <c r="E46" s="71">
        <v>0.37</v>
      </c>
      <c r="F46" s="71">
        <v>0.5</v>
      </c>
      <c r="G46" s="70">
        <v>0.51</v>
      </c>
      <c r="H46" s="70">
        <v>0.51</v>
      </c>
      <c r="I46" s="70">
        <v>0.27</v>
      </c>
      <c r="J46" s="70">
        <v>0.27</v>
      </c>
      <c r="K46" s="70">
        <v>0.33</v>
      </c>
      <c r="L46" s="70">
        <v>0</v>
      </c>
      <c r="M46" s="70">
        <v>0.25</v>
      </c>
      <c r="N46" s="70">
        <v>0.46</v>
      </c>
      <c r="O46" s="70">
        <v>8.2000000000000073E-2</v>
      </c>
      <c r="P46" s="70">
        <v>0.25</v>
      </c>
      <c r="Q46" s="70">
        <v>0.45</v>
      </c>
      <c r="R46" s="90">
        <v>0.15</v>
      </c>
      <c r="S46" s="90">
        <v>0.35</v>
      </c>
      <c r="T46" s="90">
        <v>0.4</v>
      </c>
      <c r="U46" s="90">
        <v>0.37</v>
      </c>
    </row>
    <row r="47" spans="1:21" hidden="1" x14ac:dyDescent="0.2">
      <c r="A47" s="79" t="s">
        <v>99</v>
      </c>
      <c r="B47" s="79" t="s">
        <v>99</v>
      </c>
      <c r="C47" s="79" t="s">
        <v>99</v>
      </c>
      <c r="D47" s="79" t="s">
        <v>99</v>
      </c>
      <c r="E47" s="70">
        <v>0.2</v>
      </c>
      <c r="F47" s="70">
        <v>0.24399999999999999</v>
      </c>
      <c r="G47" s="70">
        <v>0.37299999999999989</v>
      </c>
      <c r="H47" s="70">
        <v>0.37299999999999989</v>
      </c>
      <c r="I47" s="70">
        <v>0.2</v>
      </c>
      <c r="J47" s="70">
        <v>0.2</v>
      </c>
      <c r="K47" s="70">
        <v>0.15</v>
      </c>
      <c r="L47" s="70">
        <v>0</v>
      </c>
      <c r="M47" s="70">
        <v>0.14850000000000008</v>
      </c>
      <c r="N47" s="70">
        <v>0</v>
      </c>
      <c r="O47" s="70">
        <v>0</v>
      </c>
      <c r="P47" s="70">
        <v>9.1500000000000026E-2</v>
      </c>
      <c r="Q47" s="70">
        <v>0</v>
      </c>
      <c r="R47" s="80">
        <v>0.16059663342759189</v>
      </c>
      <c r="S47" s="80">
        <v>0.24399999999999999</v>
      </c>
      <c r="T47" s="80">
        <v>0.37299999999999989</v>
      </c>
      <c r="U47" s="80">
        <v>0.37299999999999989</v>
      </c>
    </row>
    <row r="48" spans="1:21" hidden="1" x14ac:dyDescent="0.2">
      <c r="A48" s="79" t="s">
        <v>100</v>
      </c>
      <c r="B48" s="79" t="s">
        <v>100</v>
      </c>
      <c r="C48" s="79" t="s">
        <v>100</v>
      </c>
      <c r="D48" s="79" t="s">
        <v>100</v>
      </c>
      <c r="E48" s="70">
        <v>0.32</v>
      </c>
      <c r="F48" s="70">
        <v>0.32</v>
      </c>
      <c r="G48" s="70">
        <v>0.4101999999999999</v>
      </c>
      <c r="H48" s="70">
        <v>0.4101999999999999</v>
      </c>
      <c r="I48" s="70">
        <v>0.2</v>
      </c>
      <c r="J48" s="70">
        <v>0.2</v>
      </c>
      <c r="K48" s="70">
        <v>0.15</v>
      </c>
      <c r="L48" s="70">
        <v>0</v>
      </c>
      <c r="M48" s="70">
        <v>0.14850000000000008</v>
      </c>
      <c r="N48" s="70">
        <v>0</v>
      </c>
      <c r="O48" s="70">
        <v>0</v>
      </c>
      <c r="P48" s="70">
        <v>0.10100000000000009</v>
      </c>
      <c r="Q48" s="70">
        <v>0</v>
      </c>
      <c r="R48" s="90">
        <v>0.15</v>
      </c>
      <c r="S48" s="80">
        <v>0.32</v>
      </c>
      <c r="T48" s="80">
        <v>0.4101999999999999</v>
      </c>
      <c r="U48" s="90">
        <v>0.38</v>
      </c>
    </row>
    <row r="49" spans="1:21" hidden="1" x14ac:dyDescent="0.2">
      <c r="A49" s="79" t="s">
        <v>101</v>
      </c>
      <c r="B49" s="79" t="s">
        <v>101</v>
      </c>
      <c r="C49" s="79" t="s">
        <v>101</v>
      </c>
      <c r="D49" s="79" t="s">
        <v>101</v>
      </c>
      <c r="E49" s="70">
        <v>0.35</v>
      </c>
      <c r="F49" s="70">
        <v>0.34</v>
      </c>
      <c r="G49" s="70">
        <v>0.48</v>
      </c>
      <c r="H49" s="70">
        <v>0.48</v>
      </c>
      <c r="I49" s="70">
        <v>0.15</v>
      </c>
      <c r="J49" s="70">
        <v>0.15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90">
        <v>0.15</v>
      </c>
      <c r="S49" s="80">
        <v>0.34</v>
      </c>
      <c r="T49" s="90">
        <v>0.42</v>
      </c>
      <c r="U49" s="90">
        <v>0.38</v>
      </c>
    </row>
    <row r="50" spans="1:21" hidden="1" x14ac:dyDescent="0.2">
      <c r="A50" s="79" t="s">
        <v>102</v>
      </c>
      <c r="B50" s="79" t="s">
        <v>102</v>
      </c>
      <c r="C50" s="79" t="s">
        <v>102</v>
      </c>
      <c r="D50" s="79" t="s">
        <v>102</v>
      </c>
      <c r="E50" s="72">
        <v>0.08</v>
      </c>
      <c r="F50" s="70">
        <v>0.253</v>
      </c>
      <c r="G50" s="70">
        <v>0.32</v>
      </c>
      <c r="H50" s="70">
        <v>0.26</v>
      </c>
      <c r="I50" s="70">
        <v>0.1</v>
      </c>
      <c r="J50" s="70">
        <v>0.15</v>
      </c>
      <c r="K50" s="70">
        <v>0.15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80">
        <v>0</v>
      </c>
      <c r="S50" s="80">
        <v>4.8748041364663486E-3</v>
      </c>
      <c r="T50" s="80">
        <v>0.10721616280576152</v>
      </c>
      <c r="U50" s="80">
        <v>2.5185555422609029E-2</v>
      </c>
    </row>
    <row r="51" spans="1:21" hidden="1" x14ac:dyDescent="0.2">
      <c r="A51" s="79" t="s">
        <v>180</v>
      </c>
      <c r="B51" s="79" t="s">
        <v>111</v>
      </c>
      <c r="C51" s="79" t="s">
        <v>180</v>
      </c>
      <c r="D51" s="79" t="s">
        <v>103</v>
      </c>
      <c r="E51" s="72">
        <v>0.3</v>
      </c>
      <c r="F51" s="70">
        <v>0.46831405166852369</v>
      </c>
      <c r="G51" s="70">
        <v>0.52553268319621493</v>
      </c>
      <c r="H51" s="70">
        <v>0.49047594613204581</v>
      </c>
      <c r="I51" s="70">
        <v>0.24</v>
      </c>
      <c r="J51" s="70">
        <v>0.3</v>
      </c>
      <c r="K51" s="70">
        <v>0.33</v>
      </c>
      <c r="L51" s="70">
        <v>0</v>
      </c>
      <c r="M51" s="70">
        <v>0.42</v>
      </c>
      <c r="N51" s="70">
        <v>0.45</v>
      </c>
      <c r="O51" s="70">
        <v>0</v>
      </c>
      <c r="P51" s="70">
        <v>0.45</v>
      </c>
      <c r="Q51" s="70">
        <v>0.45</v>
      </c>
      <c r="R51" s="90">
        <v>0</v>
      </c>
      <c r="S51" s="90">
        <v>0.25</v>
      </c>
      <c r="T51" s="90">
        <v>0.32</v>
      </c>
      <c r="U51" s="90">
        <v>0.27</v>
      </c>
    </row>
    <row r="52" spans="1:21" hidden="1" x14ac:dyDescent="0.2">
      <c r="A52" s="79" t="s">
        <v>181</v>
      </c>
      <c r="B52" s="79" t="s">
        <v>111</v>
      </c>
      <c r="C52" s="79" t="s">
        <v>181</v>
      </c>
      <c r="D52" s="79" t="s">
        <v>104</v>
      </c>
      <c r="E52" s="70">
        <v>0.38</v>
      </c>
      <c r="F52" s="70">
        <v>0.51760158645053422</v>
      </c>
      <c r="G52" s="70">
        <v>0.56967874606088031</v>
      </c>
      <c r="H52" s="70">
        <v>0.53768899690271776</v>
      </c>
      <c r="I52" s="70">
        <v>0.21</v>
      </c>
      <c r="J52" s="70">
        <v>0.3</v>
      </c>
      <c r="K52" s="70">
        <v>0.33</v>
      </c>
      <c r="L52" s="70">
        <v>0</v>
      </c>
      <c r="M52" s="70">
        <v>0.42</v>
      </c>
      <c r="N52" s="70">
        <v>0.45</v>
      </c>
      <c r="O52" s="70">
        <v>0</v>
      </c>
      <c r="P52" s="70">
        <v>0.45</v>
      </c>
      <c r="Q52" s="70">
        <v>0.45</v>
      </c>
      <c r="R52" s="90">
        <v>0.15</v>
      </c>
      <c r="S52" s="90">
        <v>0.35</v>
      </c>
      <c r="T52" s="90">
        <v>0.41</v>
      </c>
      <c r="U52" s="90">
        <v>0.36</v>
      </c>
    </row>
    <row r="53" spans="1:21" hidden="1" x14ac:dyDescent="0.2">
      <c r="A53" s="79" t="s">
        <v>182</v>
      </c>
      <c r="B53" s="79" t="s">
        <v>111</v>
      </c>
      <c r="C53" s="79" t="s">
        <v>182</v>
      </c>
      <c r="D53" s="79" t="s">
        <v>104</v>
      </c>
      <c r="E53" s="70">
        <v>0.23558412741422863</v>
      </c>
      <c r="F53" s="70">
        <v>0.40770769622701686</v>
      </c>
      <c r="G53" s="70">
        <v>0.46857521640693178</v>
      </c>
      <c r="H53" s="70">
        <v>0.42647276596538009</v>
      </c>
      <c r="I53" s="70">
        <v>0.21</v>
      </c>
      <c r="J53" s="70">
        <v>0.3</v>
      </c>
      <c r="K53" s="70">
        <v>0.33</v>
      </c>
      <c r="L53" s="70">
        <v>0</v>
      </c>
      <c r="M53" s="70">
        <v>0.42</v>
      </c>
      <c r="N53" s="70">
        <v>0.45</v>
      </c>
      <c r="O53" s="70">
        <v>0</v>
      </c>
      <c r="P53" s="70">
        <v>0.45</v>
      </c>
      <c r="Q53" s="70">
        <v>0.45</v>
      </c>
      <c r="R53" s="80">
        <v>0</v>
      </c>
      <c r="S53" s="80">
        <v>0.19921825185167019</v>
      </c>
      <c r="T53" s="80">
        <v>0.28502062501543801</v>
      </c>
      <c r="U53" s="80">
        <v>0.2219139213640553</v>
      </c>
    </row>
    <row r="54" spans="1:21" hidden="1" x14ac:dyDescent="0.2">
      <c r="A54" s="79" t="s">
        <v>226</v>
      </c>
      <c r="B54" s="79" t="s">
        <v>226</v>
      </c>
      <c r="C54" s="79" t="s">
        <v>183</v>
      </c>
      <c r="D54" s="79" t="s">
        <v>69</v>
      </c>
      <c r="E54" s="70">
        <v>0.37</v>
      </c>
      <c r="F54" s="70">
        <v>0.45</v>
      </c>
      <c r="G54" s="70">
        <v>0.57999999999999996</v>
      </c>
      <c r="H54" s="70">
        <v>0.57999999999999996</v>
      </c>
      <c r="I54" s="70">
        <v>0.18</v>
      </c>
      <c r="J54" s="70">
        <v>0.18</v>
      </c>
      <c r="K54" s="70">
        <v>0.33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90">
        <v>0.37</v>
      </c>
      <c r="S54" s="90">
        <v>0.51</v>
      </c>
      <c r="T54" s="90">
        <v>0.56000000000000005</v>
      </c>
      <c r="U54" s="90">
        <v>0.53</v>
      </c>
    </row>
    <row r="55" spans="1:21" hidden="1" x14ac:dyDescent="0.2">
      <c r="A55" s="79" t="s">
        <v>183</v>
      </c>
      <c r="B55" s="79" t="s">
        <v>226</v>
      </c>
      <c r="C55" s="79" t="s">
        <v>183</v>
      </c>
      <c r="D55" s="79" t="s">
        <v>69</v>
      </c>
      <c r="E55" s="72">
        <v>0.37</v>
      </c>
      <c r="F55" s="72">
        <v>0.62</v>
      </c>
      <c r="G55" s="72">
        <v>0.62</v>
      </c>
      <c r="H55" s="72">
        <v>0.62</v>
      </c>
      <c r="I55" s="70">
        <v>0.18</v>
      </c>
      <c r="J55" s="70">
        <v>0.18</v>
      </c>
      <c r="K55" s="70">
        <v>0.33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90">
        <v>0.37</v>
      </c>
      <c r="S55" s="90">
        <v>0.51</v>
      </c>
      <c r="T55" s="90">
        <v>0.56000000000000005</v>
      </c>
      <c r="U55" s="90">
        <v>0.53</v>
      </c>
    </row>
    <row r="56" spans="1:21" hidden="1" x14ac:dyDescent="0.2">
      <c r="A56" s="79" t="s">
        <v>184</v>
      </c>
      <c r="B56" s="79" t="s">
        <v>226</v>
      </c>
      <c r="C56" s="79" t="s">
        <v>184</v>
      </c>
      <c r="D56" s="79" t="s">
        <v>70</v>
      </c>
      <c r="E56" s="70">
        <v>0.26</v>
      </c>
      <c r="F56" s="70">
        <v>0.41188868390948863</v>
      </c>
      <c r="G56" s="70">
        <v>0.4712954902687736</v>
      </c>
      <c r="H56" s="70">
        <v>0.42819826857452548</v>
      </c>
      <c r="I56" s="70">
        <v>0.18</v>
      </c>
      <c r="J56" s="70">
        <v>0.18</v>
      </c>
      <c r="K56" s="70">
        <v>0.33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80">
        <v>0</v>
      </c>
      <c r="S56" s="90">
        <v>0.21</v>
      </c>
      <c r="T56" s="90">
        <v>0.28999999999999998</v>
      </c>
      <c r="U56" s="90">
        <v>0.23</v>
      </c>
    </row>
    <row r="57" spans="1:21" hidden="1" x14ac:dyDescent="0.2">
      <c r="A57" s="79" t="s">
        <v>185</v>
      </c>
      <c r="B57" s="79" t="s">
        <v>242</v>
      </c>
      <c r="C57" s="79" t="s">
        <v>185</v>
      </c>
      <c r="D57" s="79" t="s">
        <v>186</v>
      </c>
      <c r="E57" s="70">
        <v>0.45</v>
      </c>
      <c r="F57" s="71">
        <v>0.57999999999999996</v>
      </c>
      <c r="G57" s="71">
        <v>0.57999999999999996</v>
      </c>
      <c r="H57" s="71">
        <v>0.57999999999999996</v>
      </c>
      <c r="I57" s="70">
        <v>0</v>
      </c>
      <c r="J57" s="70">
        <v>0</v>
      </c>
      <c r="K57" s="70">
        <v>0.15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90">
        <v>0.2</v>
      </c>
      <c r="S57" s="90">
        <v>0.41</v>
      </c>
      <c r="T57" s="90">
        <v>0.47</v>
      </c>
      <c r="U57" s="90">
        <v>0.43</v>
      </c>
    </row>
    <row r="58" spans="1:21" hidden="1" x14ac:dyDescent="0.2">
      <c r="A58" s="79" t="s">
        <v>187</v>
      </c>
      <c r="B58" s="79" t="s">
        <v>242</v>
      </c>
      <c r="C58" s="79" t="s">
        <v>187</v>
      </c>
      <c r="D58" s="79" t="s">
        <v>186</v>
      </c>
      <c r="E58" s="70">
        <v>0.1</v>
      </c>
      <c r="F58" s="70">
        <v>0.05</v>
      </c>
      <c r="G58" s="70">
        <v>0.23</v>
      </c>
      <c r="H58" s="70">
        <v>0.23</v>
      </c>
      <c r="I58" s="70">
        <v>0</v>
      </c>
      <c r="J58" s="70">
        <v>0</v>
      </c>
      <c r="K58" s="70">
        <v>0.15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90">
        <v>0.1</v>
      </c>
      <c r="S58" s="90">
        <v>0</v>
      </c>
      <c r="T58" s="90">
        <v>0.21</v>
      </c>
      <c r="U58" s="90">
        <v>0.21</v>
      </c>
    </row>
    <row r="59" spans="1:21" hidden="1" x14ac:dyDescent="0.2">
      <c r="A59" s="79" t="s">
        <v>227</v>
      </c>
      <c r="B59" s="79" t="s">
        <v>242</v>
      </c>
      <c r="C59" s="79" t="s">
        <v>189</v>
      </c>
      <c r="D59" s="79" t="s">
        <v>73</v>
      </c>
      <c r="E59" s="70">
        <v>0.22</v>
      </c>
      <c r="F59" s="70">
        <v>0.22</v>
      </c>
      <c r="G59" s="71">
        <v>0.57999999999999996</v>
      </c>
      <c r="H59" s="71">
        <v>0.57999999999999996</v>
      </c>
      <c r="I59" s="70">
        <v>0</v>
      </c>
      <c r="J59" s="70">
        <v>0</v>
      </c>
      <c r="K59" s="70">
        <v>2.5000000000000001E-2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90">
        <v>0.15</v>
      </c>
      <c r="S59" s="90">
        <v>0.2</v>
      </c>
      <c r="T59" s="90">
        <v>0.45</v>
      </c>
      <c r="U59" s="90">
        <v>0.41</v>
      </c>
    </row>
    <row r="60" spans="1:21" hidden="1" x14ac:dyDescent="0.2">
      <c r="A60" s="79" t="s">
        <v>189</v>
      </c>
      <c r="B60" s="79" t="s">
        <v>242</v>
      </c>
      <c r="C60" s="79" t="s">
        <v>189</v>
      </c>
      <c r="D60" s="79" t="s">
        <v>73</v>
      </c>
      <c r="E60" s="70">
        <v>0.1</v>
      </c>
      <c r="F60" s="70">
        <v>0.05</v>
      </c>
      <c r="G60" s="70">
        <v>0.23</v>
      </c>
      <c r="H60" s="70">
        <v>0.23</v>
      </c>
      <c r="I60" s="70">
        <v>0</v>
      </c>
      <c r="J60" s="70">
        <v>0</v>
      </c>
      <c r="K60" s="70">
        <v>2.5000000000000001E-2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90">
        <v>0</v>
      </c>
      <c r="S60" s="90">
        <v>0</v>
      </c>
      <c r="T60" s="90">
        <v>0.1</v>
      </c>
      <c r="U60" s="90">
        <v>0</v>
      </c>
    </row>
    <row r="61" spans="1:21" hidden="1" x14ac:dyDescent="0.2">
      <c r="A61" s="79" t="s">
        <v>105</v>
      </c>
      <c r="B61" s="79" t="s">
        <v>105</v>
      </c>
      <c r="C61" s="79" t="s">
        <v>105</v>
      </c>
      <c r="D61" s="79" t="s">
        <v>105</v>
      </c>
      <c r="E61" s="70">
        <v>0.2</v>
      </c>
      <c r="F61" s="70">
        <v>0.21</v>
      </c>
      <c r="G61" s="70">
        <v>0.34</v>
      </c>
      <c r="H61" s="70">
        <v>0.34</v>
      </c>
      <c r="I61" s="70">
        <v>0.1</v>
      </c>
      <c r="J61" s="70">
        <v>0.2</v>
      </c>
      <c r="K61" s="70">
        <v>0.2</v>
      </c>
      <c r="L61" s="70">
        <v>0</v>
      </c>
      <c r="M61" s="70">
        <v>0.35</v>
      </c>
      <c r="N61" s="70">
        <v>0.35</v>
      </c>
      <c r="O61" s="70">
        <v>0</v>
      </c>
      <c r="P61" s="70">
        <v>0.35</v>
      </c>
      <c r="Q61" s="70">
        <v>0.35</v>
      </c>
      <c r="R61" s="90">
        <v>0.18</v>
      </c>
      <c r="S61" s="90">
        <v>0.19</v>
      </c>
      <c r="T61" s="90">
        <v>0.31</v>
      </c>
      <c r="U61" s="90">
        <v>0.31</v>
      </c>
    </row>
    <row r="62" spans="1:21" hidden="1" x14ac:dyDescent="0.2">
      <c r="A62" s="79" t="s">
        <v>190</v>
      </c>
      <c r="B62" s="79" t="s">
        <v>243</v>
      </c>
      <c r="C62" s="79" t="s">
        <v>190</v>
      </c>
      <c r="D62" s="79" t="s">
        <v>17</v>
      </c>
      <c r="E62" s="70">
        <v>0.2</v>
      </c>
      <c r="F62" s="70">
        <v>0.6</v>
      </c>
      <c r="G62" s="70">
        <v>0.6</v>
      </c>
      <c r="H62" s="70">
        <v>0.6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90">
        <v>0</v>
      </c>
      <c r="S62" s="90">
        <v>0.36</v>
      </c>
      <c r="T62" s="90">
        <v>0.43</v>
      </c>
      <c r="U62" s="90">
        <v>0.38</v>
      </c>
    </row>
    <row r="63" spans="1:21" hidden="1" x14ac:dyDescent="0.2">
      <c r="A63" s="79" t="s">
        <v>191</v>
      </c>
      <c r="B63" s="79" t="s">
        <v>243</v>
      </c>
      <c r="C63" s="79" t="s">
        <v>191</v>
      </c>
      <c r="D63" s="79" t="s">
        <v>18</v>
      </c>
      <c r="E63" s="70">
        <v>0.1</v>
      </c>
      <c r="F63" s="70">
        <v>0.55000000000000004</v>
      </c>
      <c r="G63" s="70">
        <v>0.55000000000000004</v>
      </c>
      <c r="H63" s="70">
        <v>0.55000000000000004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90">
        <v>2.1349867256348354E-3</v>
      </c>
      <c r="S63" s="90">
        <v>0.3</v>
      </c>
      <c r="T63" s="90">
        <v>0.38</v>
      </c>
      <c r="U63" s="90">
        <v>0.33</v>
      </c>
    </row>
    <row r="64" spans="1:21" hidden="1" x14ac:dyDescent="0.2">
      <c r="A64" s="79" t="s">
        <v>192</v>
      </c>
      <c r="B64" s="79" t="s">
        <v>243</v>
      </c>
      <c r="C64" s="79" t="s">
        <v>192</v>
      </c>
      <c r="D64" s="79" t="s">
        <v>18</v>
      </c>
      <c r="E64" s="70">
        <v>6.5597163534314329E-2</v>
      </c>
      <c r="F64" s="70">
        <v>0.24</v>
      </c>
      <c r="G64" s="70">
        <v>0.35</v>
      </c>
      <c r="H64" s="70">
        <v>0.35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90">
        <v>0</v>
      </c>
      <c r="S64" s="90">
        <v>0</v>
      </c>
      <c r="T64" s="90">
        <v>0</v>
      </c>
      <c r="U64" s="90">
        <v>0</v>
      </c>
    </row>
    <row r="65" spans="1:21" hidden="1" x14ac:dyDescent="0.2">
      <c r="A65" s="79" t="s">
        <v>228</v>
      </c>
      <c r="B65" s="79" t="s">
        <v>243</v>
      </c>
      <c r="C65" s="79" t="s">
        <v>192</v>
      </c>
      <c r="D65" s="79" t="s">
        <v>18</v>
      </c>
      <c r="E65" s="70">
        <v>0.1</v>
      </c>
      <c r="F65" s="70">
        <v>0.24</v>
      </c>
      <c r="G65" s="70">
        <v>0.35</v>
      </c>
      <c r="H65" s="70">
        <v>0.35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90">
        <v>0</v>
      </c>
      <c r="S65" s="90">
        <v>0.2</v>
      </c>
      <c r="T65" s="90">
        <v>0.3</v>
      </c>
      <c r="U65" s="90">
        <v>0.3</v>
      </c>
    </row>
    <row r="66" spans="1:21" hidden="1" x14ac:dyDescent="0.2">
      <c r="A66" s="79" t="s">
        <v>193</v>
      </c>
      <c r="B66" s="79" t="s">
        <v>244</v>
      </c>
      <c r="C66" s="79" t="s">
        <v>193</v>
      </c>
      <c r="D66" s="79" t="s">
        <v>19</v>
      </c>
      <c r="E66" s="71">
        <v>0.3</v>
      </c>
      <c r="F66" s="70">
        <v>0.67</v>
      </c>
      <c r="G66" s="70">
        <v>0.67</v>
      </c>
      <c r="H66" s="70">
        <v>0.67</v>
      </c>
      <c r="I66" s="70">
        <v>0.28000000000000003</v>
      </c>
      <c r="J66" s="70">
        <v>0.1</v>
      </c>
      <c r="K66" s="70">
        <v>0.33</v>
      </c>
      <c r="L66" s="70">
        <v>0</v>
      </c>
      <c r="M66" s="81">
        <v>0.18</v>
      </c>
      <c r="N66" s="70">
        <v>0.33</v>
      </c>
      <c r="O66" s="70">
        <v>0</v>
      </c>
      <c r="P66" s="70">
        <v>0.19</v>
      </c>
      <c r="Q66" s="70">
        <v>0.33</v>
      </c>
      <c r="R66" s="90">
        <v>0.3</v>
      </c>
      <c r="S66" s="90">
        <v>0.53</v>
      </c>
      <c r="T66" s="90">
        <v>0.57999999999999996</v>
      </c>
      <c r="U66" s="90">
        <v>0.55000000000000004</v>
      </c>
    </row>
    <row r="67" spans="1:21" hidden="1" x14ac:dyDescent="0.2">
      <c r="A67" s="79" t="s">
        <v>229</v>
      </c>
      <c r="B67" s="79" t="s">
        <v>244</v>
      </c>
      <c r="C67" s="79" t="s">
        <v>194</v>
      </c>
      <c r="D67" s="79" t="s">
        <v>20</v>
      </c>
      <c r="E67" s="70">
        <v>0</v>
      </c>
      <c r="F67" s="70">
        <v>0</v>
      </c>
      <c r="G67" s="70">
        <v>0</v>
      </c>
      <c r="H67" s="70">
        <v>0</v>
      </c>
      <c r="I67" s="70">
        <v>0.28000000000000003</v>
      </c>
      <c r="J67" s="70">
        <v>0.1</v>
      </c>
      <c r="K67" s="70">
        <v>0.33</v>
      </c>
      <c r="L67" s="70">
        <v>0</v>
      </c>
      <c r="M67" s="81">
        <v>0.18</v>
      </c>
      <c r="N67" s="70">
        <v>0.33</v>
      </c>
      <c r="O67" s="70">
        <v>0</v>
      </c>
      <c r="P67" s="70">
        <v>0.19</v>
      </c>
      <c r="Q67" s="70">
        <v>0.33</v>
      </c>
      <c r="R67" s="80">
        <v>0</v>
      </c>
      <c r="S67" s="80">
        <v>0</v>
      </c>
      <c r="T67" s="80">
        <v>0</v>
      </c>
      <c r="U67" s="80">
        <v>0</v>
      </c>
    </row>
    <row r="68" spans="1:21" hidden="1" x14ac:dyDescent="0.2">
      <c r="A68" s="79" t="s">
        <v>230</v>
      </c>
      <c r="B68" s="79" t="s">
        <v>244</v>
      </c>
      <c r="C68" s="79" t="s">
        <v>194</v>
      </c>
      <c r="D68" s="79" t="s">
        <v>20</v>
      </c>
      <c r="E68" s="70">
        <v>0.19480751196205193</v>
      </c>
      <c r="F68" s="70">
        <v>0.38648132205689367</v>
      </c>
      <c r="G68" s="70">
        <v>0.44958963969265042</v>
      </c>
      <c r="H68" s="70">
        <v>0.40619886692861318</v>
      </c>
      <c r="I68" s="70">
        <v>0.28000000000000003</v>
      </c>
      <c r="J68" s="70">
        <v>0.1</v>
      </c>
      <c r="K68" s="70">
        <v>0.33</v>
      </c>
      <c r="L68" s="70">
        <v>0</v>
      </c>
      <c r="M68" s="81">
        <v>0.18</v>
      </c>
      <c r="N68" s="70">
        <v>0.33</v>
      </c>
      <c r="O68" s="70">
        <v>0</v>
      </c>
      <c r="P68" s="70">
        <v>0.19</v>
      </c>
      <c r="Q68" s="70">
        <v>0.33</v>
      </c>
      <c r="R68" s="80">
        <v>0</v>
      </c>
      <c r="S68" s="80">
        <v>0.15309234916778869</v>
      </c>
      <c r="T68" s="80">
        <v>0.24480484313497752</v>
      </c>
      <c r="U68" s="80">
        <v>0.17954471108906989</v>
      </c>
    </row>
    <row r="69" spans="1:21" hidden="1" x14ac:dyDescent="0.2">
      <c r="A69" s="79" t="s">
        <v>106</v>
      </c>
      <c r="B69" s="79" t="s">
        <v>106</v>
      </c>
      <c r="C69" s="79" t="s">
        <v>106</v>
      </c>
      <c r="D69" s="79" t="s">
        <v>106</v>
      </c>
      <c r="E69" s="70">
        <v>0</v>
      </c>
      <c r="F69" s="70">
        <v>0</v>
      </c>
      <c r="G69" s="70">
        <v>0.1</v>
      </c>
      <c r="H69" s="70">
        <v>0.1</v>
      </c>
      <c r="I69" s="70">
        <v>0</v>
      </c>
      <c r="J69" s="70">
        <v>0.2</v>
      </c>
      <c r="K69" s="70">
        <v>0.1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80">
        <v>0</v>
      </c>
      <c r="S69" s="80">
        <v>0</v>
      </c>
      <c r="T69" s="80">
        <v>0.1</v>
      </c>
      <c r="U69" s="80">
        <v>0.1</v>
      </c>
    </row>
    <row r="70" spans="1:21" hidden="1" x14ac:dyDescent="0.2">
      <c r="A70" s="79" t="s">
        <v>195</v>
      </c>
      <c r="B70" s="79" t="s">
        <v>245</v>
      </c>
      <c r="C70" s="79" t="s">
        <v>195</v>
      </c>
      <c r="D70" s="79" t="s">
        <v>75</v>
      </c>
      <c r="E70" s="70">
        <v>0.38</v>
      </c>
      <c r="F70" s="71">
        <v>0.62</v>
      </c>
      <c r="G70" s="71">
        <v>0.62</v>
      </c>
      <c r="H70" s="71">
        <v>0.62</v>
      </c>
      <c r="I70" s="70">
        <v>0</v>
      </c>
      <c r="J70" s="70">
        <v>0</v>
      </c>
      <c r="K70" s="70">
        <v>0.33</v>
      </c>
      <c r="L70" s="70">
        <v>0</v>
      </c>
      <c r="M70" s="70">
        <v>0</v>
      </c>
      <c r="N70" s="70">
        <v>0</v>
      </c>
      <c r="O70" s="70">
        <v>0</v>
      </c>
      <c r="P70" s="70">
        <v>7.2500000000000009E-2</v>
      </c>
      <c r="Q70" s="70">
        <v>0.17</v>
      </c>
      <c r="R70" s="90">
        <v>0.33</v>
      </c>
      <c r="S70" s="90">
        <v>0.46</v>
      </c>
      <c r="T70" s="90">
        <v>0.51</v>
      </c>
      <c r="U70" s="90">
        <v>0.48</v>
      </c>
    </row>
    <row r="71" spans="1:21" hidden="1" x14ac:dyDescent="0.2">
      <c r="A71" s="79" t="s">
        <v>196</v>
      </c>
      <c r="B71" s="79" t="s">
        <v>245</v>
      </c>
      <c r="C71" s="79" t="s">
        <v>196</v>
      </c>
      <c r="D71" s="79" t="s">
        <v>75</v>
      </c>
      <c r="E71" s="70">
        <v>0.38</v>
      </c>
      <c r="F71" s="71">
        <v>0.62</v>
      </c>
      <c r="G71" s="71">
        <v>0.62</v>
      </c>
      <c r="H71" s="71">
        <v>0.62</v>
      </c>
      <c r="I71" s="70">
        <v>0</v>
      </c>
      <c r="J71" s="70">
        <v>0</v>
      </c>
      <c r="K71" s="70">
        <v>0.33</v>
      </c>
      <c r="L71" s="70">
        <v>0</v>
      </c>
      <c r="M71" s="70">
        <v>0</v>
      </c>
      <c r="N71" s="70">
        <v>0</v>
      </c>
      <c r="O71" s="70">
        <v>0</v>
      </c>
      <c r="P71" s="70">
        <v>7.2500000000000009E-2</v>
      </c>
      <c r="Q71" s="70">
        <v>0.17</v>
      </c>
      <c r="R71" s="90">
        <v>0.38</v>
      </c>
      <c r="S71" s="90">
        <v>0.51</v>
      </c>
      <c r="T71" s="90">
        <v>0.55000000000000004</v>
      </c>
      <c r="U71" s="90">
        <v>0.52</v>
      </c>
    </row>
    <row r="72" spans="1:21" hidden="1" x14ac:dyDescent="0.2">
      <c r="A72" s="79" t="s">
        <v>197</v>
      </c>
      <c r="B72" s="79" t="s">
        <v>246</v>
      </c>
      <c r="C72" s="79" t="s">
        <v>197</v>
      </c>
      <c r="D72" s="79" t="s">
        <v>75</v>
      </c>
      <c r="E72" s="70">
        <v>0.38</v>
      </c>
      <c r="F72" s="71">
        <v>0.62</v>
      </c>
      <c r="G72" s="71">
        <v>0.62</v>
      </c>
      <c r="H72" s="71">
        <v>0.62</v>
      </c>
      <c r="I72" s="70">
        <v>0</v>
      </c>
      <c r="J72" s="70">
        <v>0</v>
      </c>
      <c r="K72" s="70">
        <v>0.33</v>
      </c>
      <c r="L72" s="70">
        <v>0</v>
      </c>
      <c r="M72" s="70">
        <v>0.28000000000000003</v>
      </c>
      <c r="N72" s="98">
        <v>0.4</v>
      </c>
      <c r="O72" s="70">
        <v>0</v>
      </c>
      <c r="P72" s="70">
        <v>0.3</v>
      </c>
      <c r="Q72" s="98">
        <v>0.4</v>
      </c>
      <c r="R72" s="90">
        <v>0.33</v>
      </c>
      <c r="S72" s="90">
        <v>0.47</v>
      </c>
      <c r="T72" s="90">
        <v>0.51</v>
      </c>
      <c r="U72" s="90">
        <v>0.47</v>
      </c>
    </row>
    <row r="73" spans="1:21" hidden="1" x14ac:dyDescent="0.2">
      <c r="A73" s="79" t="s">
        <v>198</v>
      </c>
      <c r="B73" s="79" t="s">
        <v>247</v>
      </c>
      <c r="C73" s="79" t="s">
        <v>198</v>
      </c>
      <c r="D73" s="79" t="s">
        <v>76</v>
      </c>
      <c r="E73" s="72">
        <v>0.15</v>
      </c>
      <c r="F73" s="70">
        <v>0.3281071756284345</v>
      </c>
      <c r="G73" s="70">
        <v>0.39407871122846616</v>
      </c>
      <c r="H73" s="70">
        <v>0.34310401417454939</v>
      </c>
      <c r="I73" s="70">
        <v>0</v>
      </c>
      <c r="J73" s="70">
        <v>0</v>
      </c>
      <c r="K73" s="70">
        <v>0.33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80">
        <v>0</v>
      </c>
      <c r="S73" s="80">
        <v>9.2342289658228438E-2</v>
      </c>
      <c r="T73" s="80">
        <v>0.18814412570871453</v>
      </c>
      <c r="U73" s="80">
        <v>0.11569559454730149</v>
      </c>
    </row>
    <row r="74" spans="1:21" hidden="1" x14ac:dyDescent="0.2">
      <c r="A74" s="79" t="s">
        <v>199</v>
      </c>
      <c r="B74" s="79" t="s">
        <v>86</v>
      </c>
      <c r="C74" s="79" t="s">
        <v>199</v>
      </c>
      <c r="D74" s="79" t="s">
        <v>78</v>
      </c>
      <c r="E74" s="72">
        <v>0.39</v>
      </c>
      <c r="F74" s="70">
        <v>0.59</v>
      </c>
      <c r="G74" s="70">
        <v>0.59</v>
      </c>
      <c r="H74" s="70">
        <v>0.59</v>
      </c>
      <c r="I74" s="70">
        <v>0.18</v>
      </c>
      <c r="J74" s="70">
        <v>0.28000000000000003</v>
      </c>
      <c r="K74" s="70">
        <v>0.28000000000000003</v>
      </c>
      <c r="L74" s="70">
        <v>0</v>
      </c>
      <c r="M74" s="70">
        <v>0.33</v>
      </c>
      <c r="N74" s="70">
        <v>0.33</v>
      </c>
      <c r="O74" s="70">
        <v>0</v>
      </c>
      <c r="P74" s="70">
        <v>0.25</v>
      </c>
      <c r="Q74" s="98">
        <v>0.4</v>
      </c>
      <c r="R74" s="89">
        <v>0.39</v>
      </c>
      <c r="S74" s="90">
        <v>0.55000000000000004</v>
      </c>
      <c r="T74" s="89">
        <v>0.59</v>
      </c>
      <c r="U74" s="90">
        <v>0.56999999999999995</v>
      </c>
    </row>
    <row r="75" spans="1:21" hidden="1" x14ac:dyDescent="0.2">
      <c r="A75" s="79" t="s">
        <v>200</v>
      </c>
      <c r="B75" s="79" t="s">
        <v>86</v>
      </c>
      <c r="C75" s="79" t="s">
        <v>200</v>
      </c>
      <c r="D75" s="79" t="s">
        <v>79</v>
      </c>
      <c r="E75" s="72">
        <v>0.39</v>
      </c>
      <c r="F75" s="70">
        <v>0.59</v>
      </c>
      <c r="G75" s="70">
        <v>0.59</v>
      </c>
      <c r="H75" s="70">
        <v>0.59</v>
      </c>
      <c r="I75" s="70">
        <v>0.18</v>
      </c>
      <c r="J75" s="70">
        <v>0.28000000000000003</v>
      </c>
      <c r="K75" s="70">
        <v>0.28000000000000003</v>
      </c>
      <c r="L75" s="70">
        <v>0</v>
      </c>
      <c r="M75" s="70">
        <v>0.33</v>
      </c>
      <c r="N75" s="70">
        <v>0.33</v>
      </c>
      <c r="O75" s="70">
        <v>0</v>
      </c>
      <c r="P75" s="70">
        <v>0.25</v>
      </c>
      <c r="Q75" s="98">
        <v>0.4</v>
      </c>
      <c r="R75" s="90">
        <v>0.35</v>
      </c>
      <c r="S75" s="90">
        <v>0.49</v>
      </c>
      <c r="T75" s="90">
        <v>0.54</v>
      </c>
      <c r="U75" s="90">
        <v>0.51</v>
      </c>
    </row>
    <row r="76" spans="1:21" hidden="1" x14ac:dyDescent="0.2">
      <c r="A76" s="79" t="s">
        <v>201</v>
      </c>
      <c r="B76" s="79" t="s">
        <v>248</v>
      </c>
      <c r="C76" s="79" t="s">
        <v>201</v>
      </c>
      <c r="D76" s="79" t="s">
        <v>107</v>
      </c>
      <c r="E76" s="70">
        <v>0.3</v>
      </c>
      <c r="F76" s="70">
        <v>0.65</v>
      </c>
      <c r="G76" s="70">
        <v>0.65</v>
      </c>
      <c r="H76" s="70">
        <v>0.65</v>
      </c>
      <c r="I76" s="70">
        <v>0.28000000000000003</v>
      </c>
      <c r="J76" s="70">
        <v>0.32</v>
      </c>
      <c r="K76" s="70">
        <v>0.33</v>
      </c>
      <c r="L76" s="70">
        <v>0</v>
      </c>
      <c r="M76" s="81">
        <v>0.4</v>
      </c>
      <c r="N76" s="70">
        <v>0.45</v>
      </c>
      <c r="O76" s="70">
        <v>0</v>
      </c>
      <c r="P76" s="70">
        <v>0.4</v>
      </c>
      <c r="Q76" s="70">
        <v>0.45</v>
      </c>
      <c r="R76" s="90">
        <v>0.3</v>
      </c>
      <c r="S76" s="90">
        <v>0.47</v>
      </c>
      <c r="T76" s="90">
        <v>0.53</v>
      </c>
      <c r="U76" s="90">
        <v>0.5</v>
      </c>
    </row>
    <row r="77" spans="1:21" hidden="1" x14ac:dyDescent="0.2">
      <c r="A77" s="79" t="s">
        <v>202</v>
      </c>
      <c r="B77" s="79" t="s">
        <v>248</v>
      </c>
      <c r="C77" s="79" t="s">
        <v>202</v>
      </c>
      <c r="D77" s="79" t="s">
        <v>108</v>
      </c>
      <c r="E77" s="70">
        <v>0.3</v>
      </c>
      <c r="F77" s="70">
        <v>0.63</v>
      </c>
      <c r="G77" s="70">
        <v>0.63</v>
      </c>
      <c r="H77" s="70">
        <v>0.63</v>
      </c>
      <c r="I77" s="70">
        <v>0.28000000000000003</v>
      </c>
      <c r="J77" s="70">
        <v>0.32</v>
      </c>
      <c r="K77" s="70">
        <v>0.33</v>
      </c>
      <c r="L77" s="70">
        <v>0</v>
      </c>
      <c r="M77" s="81">
        <v>0.4</v>
      </c>
      <c r="N77" s="70">
        <v>0.45</v>
      </c>
      <c r="O77" s="70">
        <v>0</v>
      </c>
      <c r="P77" s="70">
        <v>0.4</v>
      </c>
      <c r="Q77" s="70">
        <v>0.45</v>
      </c>
      <c r="R77" s="90">
        <v>0.3</v>
      </c>
      <c r="S77" s="90">
        <v>0.51</v>
      </c>
      <c r="T77" s="90">
        <v>0.56000000000000005</v>
      </c>
      <c r="U77" s="90">
        <v>0.53</v>
      </c>
    </row>
    <row r="78" spans="1:21" hidden="1" x14ac:dyDescent="0.2">
      <c r="A78" s="79" t="s">
        <v>203</v>
      </c>
      <c r="B78" s="79" t="s">
        <v>248</v>
      </c>
      <c r="C78" s="79" t="s">
        <v>203</v>
      </c>
      <c r="D78" s="79" t="s">
        <v>108</v>
      </c>
      <c r="E78" s="70">
        <v>0.3</v>
      </c>
      <c r="F78" s="70">
        <v>0.63</v>
      </c>
      <c r="G78" s="70">
        <v>0.63</v>
      </c>
      <c r="H78" s="70">
        <v>0.63</v>
      </c>
      <c r="I78" s="70">
        <v>0.28000000000000003</v>
      </c>
      <c r="J78" s="70">
        <v>0.32</v>
      </c>
      <c r="K78" s="70">
        <v>0.33</v>
      </c>
      <c r="L78" s="70">
        <v>0</v>
      </c>
      <c r="M78" s="81">
        <v>0.4</v>
      </c>
      <c r="N78" s="70">
        <v>0.45</v>
      </c>
      <c r="O78" s="70">
        <v>0</v>
      </c>
      <c r="P78" s="70">
        <v>0.4</v>
      </c>
      <c r="Q78" s="70">
        <v>0.45</v>
      </c>
      <c r="R78" s="90">
        <v>0.3</v>
      </c>
      <c r="S78" s="90">
        <v>0.5</v>
      </c>
      <c r="T78" s="90">
        <v>0.56000000000000005</v>
      </c>
      <c r="U78" s="90">
        <v>0.53</v>
      </c>
    </row>
    <row r="79" spans="1:21" hidden="1" x14ac:dyDescent="0.2">
      <c r="A79" s="79" t="s">
        <v>204</v>
      </c>
      <c r="B79" s="79" t="s">
        <v>249</v>
      </c>
      <c r="C79" s="79" t="s">
        <v>204</v>
      </c>
      <c r="D79" s="79" t="s">
        <v>108</v>
      </c>
      <c r="E79" s="70">
        <v>0.3</v>
      </c>
      <c r="F79" s="71">
        <v>0.52</v>
      </c>
      <c r="G79" s="71">
        <v>0.62</v>
      </c>
      <c r="H79" s="71">
        <v>0.59</v>
      </c>
      <c r="I79" s="70">
        <v>0.28000000000000003</v>
      </c>
      <c r="J79" s="70">
        <v>0.32</v>
      </c>
      <c r="K79" s="70">
        <v>0.33</v>
      </c>
      <c r="L79" s="70">
        <v>0</v>
      </c>
      <c r="M79" s="81">
        <v>0.27</v>
      </c>
      <c r="N79" s="81">
        <v>0.4</v>
      </c>
      <c r="O79" s="70">
        <v>0</v>
      </c>
      <c r="P79" s="70">
        <v>0.25</v>
      </c>
      <c r="Q79" s="70">
        <v>0.4</v>
      </c>
      <c r="R79" s="90">
        <v>0.25</v>
      </c>
      <c r="S79" s="90">
        <v>0.41</v>
      </c>
      <c r="T79" s="90">
        <v>0.47</v>
      </c>
      <c r="U79" s="90">
        <v>0.42</v>
      </c>
    </row>
    <row r="80" spans="1:21" hidden="1" x14ac:dyDescent="0.2">
      <c r="A80" s="79" t="s">
        <v>205</v>
      </c>
      <c r="B80" s="79" t="s">
        <v>249</v>
      </c>
      <c r="C80" s="79" t="s">
        <v>205</v>
      </c>
      <c r="D80" s="79" t="s">
        <v>108</v>
      </c>
      <c r="E80" s="70">
        <v>0.10843500829180941</v>
      </c>
      <c r="F80" s="70">
        <v>0.28946737674316658</v>
      </c>
      <c r="G80" s="70">
        <v>0.35785553820178029</v>
      </c>
      <c r="H80" s="70">
        <v>0.30249938049915037</v>
      </c>
      <c r="I80" s="70">
        <v>0.28000000000000003</v>
      </c>
      <c r="J80" s="70">
        <v>0.32</v>
      </c>
      <c r="K80" s="70">
        <v>0.33</v>
      </c>
      <c r="L80" s="70">
        <v>0</v>
      </c>
      <c r="M80" s="81">
        <v>0.27</v>
      </c>
      <c r="N80" s="81">
        <v>0.4</v>
      </c>
      <c r="O80" s="70">
        <v>0</v>
      </c>
      <c r="P80" s="70">
        <v>0.25</v>
      </c>
      <c r="Q80" s="70">
        <v>0.4</v>
      </c>
      <c r="R80" s="80">
        <v>0</v>
      </c>
      <c r="S80" s="80">
        <v>4.1684017445538513E-2</v>
      </c>
      <c r="T80" s="80">
        <v>0.14211500122078136</v>
      </c>
      <c r="U80" s="80">
        <v>6.5108343703600968E-2</v>
      </c>
    </row>
    <row r="84" spans="2:3" x14ac:dyDescent="0.2">
      <c r="B84" s="85"/>
      <c r="C84" s="85"/>
    </row>
  </sheetData>
  <autoFilter ref="A4:U80" xr:uid="{4C101F3F-C8CB-4117-8CE4-59FEBA47A8DA}">
    <filterColumn colId="0">
      <filters>
        <filter val="GOA"/>
        <filter val="MAHARASHTRA - 1 M"/>
        <filter val="MAHARASHTRA - 2 P"/>
        <filter val="MAHARASHTRA - 3 N"/>
        <filter val="MAHARASHTRA - 4 K"/>
        <filter val="MAHARASHTRA - 5 R"/>
        <filter val="MAHARASHTRA - 6 R"/>
      </filters>
    </filterColumn>
  </autoFilter>
  <mergeCells count="9">
    <mergeCell ref="R2:U2"/>
    <mergeCell ref="R3:U3"/>
    <mergeCell ref="E2:H2"/>
    <mergeCell ref="E3:H3"/>
    <mergeCell ref="L3:N3"/>
    <mergeCell ref="O3:Q3"/>
    <mergeCell ref="I2:I3"/>
    <mergeCell ref="J2:J3"/>
    <mergeCell ref="K2:K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F755-3715-465B-A254-05A1BF049281}">
  <dimension ref="A1:H77"/>
  <sheetViews>
    <sheetView workbookViewId="0">
      <selection activeCell="C4" sqref="C4:D4"/>
    </sheetView>
  </sheetViews>
  <sheetFormatPr defaultColWidth="9.140625" defaultRowHeight="11.25" x14ac:dyDescent="0.2"/>
  <cols>
    <col min="1" max="1" width="20.5703125" style="8" bestFit="1" customWidth="1"/>
    <col min="2" max="2" width="52.42578125" style="8" bestFit="1" customWidth="1"/>
    <col min="3" max="16384" width="9.140625" style="8"/>
  </cols>
  <sheetData>
    <row r="1" spans="1:8" ht="12" thickBot="1" x14ac:dyDescent="0.25"/>
    <row r="2" spans="1:8" ht="12" thickBot="1" x14ac:dyDescent="0.25">
      <c r="B2" s="130" t="s">
        <v>209</v>
      </c>
      <c r="C2" s="131"/>
      <c r="D2" s="131"/>
      <c r="E2" s="131"/>
      <c r="F2" s="131"/>
      <c r="G2" s="131"/>
      <c r="H2" s="132"/>
    </row>
    <row r="4" spans="1:8" x14ac:dyDescent="0.2">
      <c r="C4" s="133" t="s">
        <v>87</v>
      </c>
      <c r="D4" s="134"/>
      <c r="E4" s="135" t="s">
        <v>210</v>
      </c>
      <c r="F4" s="135" t="s">
        <v>211</v>
      </c>
      <c r="G4" s="128" t="s">
        <v>90</v>
      </c>
    </row>
    <row r="5" spans="1:8" x14ac:dyDescent="0.2">
      <c r="A5" s="45" t="s">
        <v>143</v>
      </c>
      <c r="B5" s="45" t="s">
        <v>144</v>
      </c>
      <c r="C5" s="46" t="s">
        <v>91</v>
      </c>
      <c r="D5" s="47" t="s">
        <v>92</v>
      </c>
      <c r="E5" s="136"/>
      <c r="F5" s="136"/>
      <c r="G5" s="129"/>
    </row>
    <row r="6" spans="1:8" x14ac:dyDescent="0.2">
      <c r="A6" s="42" t="s">
        <v>145</v>
      </c>
      <c r="B6" s="42" t="s">
        <v>7</v>
      </c>
      <c r="C6" s="43">
        <v>0.33</v>
      </c>
      <c r="D6" s="43">
        <v>0.18</v>
      </c>
      <c r="E6" s="43">
        <v>0.18</v>
      </c>
      <c r="F6" s="43">
        <v>0.18</v>
      </c>
      <c r="G6" s="43">
        <v>0.33</v>
      </c>
    </row>
    <row r="7" spans="1:8" x14ac:dyDescent="0.2">
      <c r="A7" s="42" t="s">
        <v>146</v>
      </c>
      <c r="B7" s="42" t="s">
        <v>10</v>
      </c>
      <c r="C7" s="43">
        <v>0.33</v>
      </c>
      <c r="D7" s="43">
        <v>0.18</v>
      </c>
      <c r="E7" s="43">
        <v>0.18</v>
      </c>
      <c r="F7" s="43">
        <v>0.18</v>
      </c>
      <c r="G7" s="43">
        <v>0.33</v>
      </c>
    </row>
    <row r="8" spans="1:8" x14ac:dyDescent="0.2">
      <c r="A8" s="42" t="s">
        <v>147</v>
      </c>
      <c r="B8" s="42" t="s">
        <v>9</v>
      </c>
      <c r="C8" s="43">
        <v>0.33</v>
      </c>
      <c r="D8" s="43">
        <v>0.18</v>
      </c>
      <c r="E8" s="43">
        <v>0.18</v>
      </c>
      <c r="F8" s="43">
        <v>0.18</v>
      </c>
      <c r="G8" s="43">
        <v>0.33</v>
      </c>
    </row>
    <row r="9" spans="1:8" x14ac:dyDescent="0.2">
      <c r="A9" s="42" t="s">
        <v>93</v>
      </c>
      <c r="B9" s="42" t="s">
        <v>93</v>
      </c>
      <c r="C9" s="43">
        <v>0.2</v>
      </c>
      <c r="D9" s="43">
        <v>0.2</v>
      </c>
      <c r="E9" s="43">
        <v>0.2</v>
      </c>
      <c r="F9" s="43">
        <v>0.2</v>
      </c>
      <c r="G9" s="43">
        <v>0.15</v>
      </c>
    </row>
    <row r="10" spans="1:8" x14ac:dyDescent="0.2">
      <c r="A10" s="42" t="s">
        <v>148</v>
      </c>
      <c r="B10" s="42" t="s">
        <v>94</v>
      </c>
      <c r="C10" s="43">
        <v>0.28000000000000003</v>
      </c>
      <c r="D10" s="43">
        <v>0.13</v>
      </c>
      <c r="E10" s="43">
        <v>0.13</v>
      </c>
      <c r="F10" s="43">
        <v>0</v>
      </c>
      <c r="G10" s="43">
        <v>0</v>
      </c>
    </row>
    <row r="11" spans="1:8" x14ac:dyDescent="0.2">
      <c r="A11" s="42" t="s">
        <v>149</v>
      </c>
      <c r="B11" s="42" t="s">
        <v>96</v>
      </c>
      <c r="C11" s="43">
        <v>0.28000000000000003</v>
      </c>
      <c r="D11" s="43">
        <v>0.13</v>
      </c>
      <c r="E11" s="43">
        <v>0.13</v>
      </c>
      <c r="F11" s="43">
        <v>0</v>
      </c>
      <c r="G11" s="43">
        <v>0</v>
      </c>
    </row>
    <row r="12" spans="1:8" x14ac:dyDescent="0.2">
      <c r="A12" s="42" t="s">
        <v>150</v>
      </c>
      <c r="B12" s="42" t="s">
        <v>95</v>
      </c>
      <c r="C12" s="43">
        <v>0.28000000000000003</v>
      </c>
      <c r="D12" s="43">
        <v>0.13</v>
      </c>
      <c r="E12" s="43">
        <v>0.13</v>
      </c>
      <c r="F12" s="43">
        <v>0</v>
      </c>
      <c r="G12" s="43">
        <v>0</v>
      </c>
    </row>
    <row r="13" spans="1:8" x14ac:dyDescent="0.2">
      <c r="A13" s="42" t="s">
        <v>97</v>
      </c>
      <c r="B13" s="42" t="s">
        <v>97</v>
      </c>
      <c r="C13" s="43">
        <v>0.33</v>
      </c>
      <c r="D13" s="43">
        <v>0.33</v>
      </c>
      <c r="E13" s="43">
        <v>0.22</v>
      </c>
      <c r="F13" s="43">
        <v>0.25</v>
      </c>
      <c r="G13" s="43">
        <v>0.33</v>
      </c>
    </row>
    <row r="14" spans="1:8" x14ac:dyDescent="0.2">
      <c r="A14" s="42" t="s">
        <v>62</v>
      </c>
      <c r="B14" s="42" t="s">
        <v>62</v>
      </c>
      <c r="C14" s="43">
        <v>0.33</v>
      </c>
      <c r="D14" s="43">
        <v>0.13</v>
      </c>
      <c r="E14" s="43">
        <v>0.18</v>
      </c>
      <c r="F14" s="43">
        <v>0.32</v>
      </c>
      <c r="G14" s="43">
        <v>0.33</v>
      </c>
    </row>
    <row r="15" spans="1:8" x14ac:dyDescent="0.2">
      <c r="A15" s="42" t="s">
        <v>151</v>
      </c>
      <c r="B15" s="42" t="s">
        <v>109</v>
      </c>
      <c r="C15" s="43">
        <v>0.33</v>
      </c>
      <c r="D15" s="43">
        <v>0.13</v>
      </c>
      <c r="E15" s="43">
        <v>0.18</v>
      </c>
      <c r="F15" s="43">
        <v>0.32</v>
      </c>
      <c r="G15" s="43">
        <v>0.33</v>
      </c>
    </row>
    <row r="16" spans="1:8" x14ac:dyDescent="0.2">
      <c r="A16" s="42" t="s">
        <v>152</v>
      </c>
      <c r="B16" s="42" t="s">
        <v>110</v>
      </c>
      <c r="C16" s="43">
        <v>0.33</v>
      </c>
      <c r="D16" s="43">
        <v>0.13</v>
      </c>
      <c r="E16" s="43">
        <v>0.18</v>
      </c>
      <c r="F16" s="43">
        <v>0.32</v>
      </c>
      <c r="G16" s="43">
        <v>0.33</v>
      </c>
    </row>
    <row r="17" spans="1:7" x14ac:dyDescent="0.2">
      <c r="A17" s="42" t="s">
        <v>63</v>
      </c>
      <c r="B17" s="42" t="s">
        <v>63</v>
      </c>
      <c r="C17" s="43">
        <v>0.33</v>
      </c>
      <c r="D17" s="43">
        <v>0.18</v>
      </c>
      <c r="E17" s="43">
        <v>0.18</v>
      </c>
      <c r="F17" s="43">
        <v>0.08</v>
      </c>
      <c r="G17" s="43">
        <v>0.61</v>
      </c>
    </row>
    <row r="18" spans="1:7" x14ac:dyDescent="0.2">
      <c r="A18" s="42" t="s">
        <v>52</v>
      </c>
      <c r="B18" s="42" t="s">
        <v>52</v>
      </c>
      <c r="C18" s="43">
        <v>0.33</v>
      </c>
      <c r="D18" s="43">
        <v>0.33</v>
      </c>
      <c r="E18" s="43">
        <v>0.33</v>
      </c>
      <c r="F18" s="43">
        <v>0.4</v>
      </c>
      <c r="G18" s="43">
        <v>0.33</v>
      </c>
    </row>
    <row r="19" spans="1:7" x14ac:dyDescent="0.2">
      <c r="A19" s="42" t="s">
        <v>153</v>
      </c>
      <c r="B19" s="42" t="s">
        <v>113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</row>
    <row r="20" spans="1:7" x14ac:dyDescent="0.2">
      <c r="A20" s="42" t="s">
        <v>154</v>
      </c>
      <c r="B20" s="42" t="s">
        <v>116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</row>
    <row r="21" spans="1:7" x14ac:dyDescent="0.2">
      <c r="A21" s="42" t="s">
        <v>155</v>
      </c>
      <c r="B21" s="42" t="s">
        <v>114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</row>
    <row r="22" spans="1:7" x14ac:dyDescent="0.2">
      <c r="A22" s="42" t="s">
        <v>156</v>
      </c>
      <c r="B22" s="42" t="s">
        <v>114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</row>
    <row r="23" spans="1:7" x14ac:dyDescent="0.2">
      <c r="A23" s="42" t="s">
        <v>157</v>
      </c>
      <c r="B23" s="42" t="s">
        <v>115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</row>
    <row r="24" spans="1:7" x14ac:dyDescent="0.2">
      <c r="A24" s="42" t="s">
        <v>158</v>
      </c>
      <c r="B24" s="42" t="s">
        <v>64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</row>
    <row r="25" spans="1:7" x14ac:dyDescent="0.2">
      <c r="A25" s="42" t="s">
        <v>159</v>
      </c>
      <c r="B25" s="42" t="s">
        <v>65</v>
      </c>
      <c r="C25" s="43">
        <v>0.33</v>
      </c>
      <c r="D25" s="43">
        <v>0.28000000000000003</v>
      </c>
      <c r="E25" s="43">
        <v>0.33</v>
      </c>
      <c r="F25" s="43">
        <v>0.28000000000000003</v>
      </c>
      <c r="G25" s="43">
        <v>0.33</v>
      </c>
    </row>
    <row r="26" spans="1:7" x14ac:dyDescent="0.2">
      <c r="A26" s="42" t="s">
        <v>160</v>
      </c>
      <c r="B26" s="42" t="s">
        <v>66</v>
      </c>
      <c r="C26" s="43">
        <v>0.33</v>
      </c>
      <c r="D26" s="43">
        <v>0.28000000000000003</v>
      </c>
      <c r="E26" s="43">
        <v>0.33</v>
      </c>
      <c r="F26" s="43">
        <v>0.4</v>
      </c>
      <c r="G26" s="43">
        <v>0.33</v>
      </c>
    </row>
    <row r="27" spans="1:7" x14ac:dyDescent="0.2">
      <c r="A27" s="42" t="s">
        <v>161</v>
      </c>
      <c r="B27" s="42" t="s">
        <v>67</v>
      </c>
      <c r="C27" s="43">
        <v>0.33</v>
      </c>
      <c r="D27" s="43">
        <v>0.28000000000000003</v>
      </c>
      <c r="E27" s="43">
        <v>0.33</v>
      </c>
      <c r="F27" s="43">
        <v>0.4</v>
      </c>
      <c r="G27" s="43">
        <v>0</v>
      </c>
    </row>
    <row r="28" spans="1:7" x14ac:dyDescent="0.2">
      <c r="A28" s="42" t="s">
        <v>162</v>
      </c>
      <c r="B28" s="42" t="s">
        <v>68</v>
      </c>
      <c r="C28" s="43">
        <v>0.33</v>
      </c>
      <c r="D28" s="43">
        <v>0.28000000000000003</v>
      </c>
      <c r="E28" s="43">
        <v>0.33</v>
      </c>
      <c r="F28" s="43">
        <v>0.4</v>
      </c>
      <c r="G28" s="43">
        <v>0</v>
      </c>
    </row>
    <row r="29" spans="1:7" x14ac:dyDescent="0.2">
      <c r="A29" s="42" t="s">
        <v>98</v>
      </c>
      <c r="B29" s="42" t="s">
        <v>98</v>
      </c>
      <c r="C29" s="43">
        <v>0</v>
      </c>
      <c r="D29" s="43">
        <v>0.33</v>
      </c>
      <c r="E29" s="43">
        <v>0.22</v>
      </c>
      <c r="F29" s="43">
        <v>0.27</v>
      </c>
      <c r="G29" s="43">
        <v>0.33</v>
      </c>
    </row>
    <row r="30" spans="1:7" x14ac:dyDescent="0.2">
      <c r="A30" s="42" t="s">
        <v>163</v>
      </c>
      <c r="B30" s="42" t="s">
        <v>11</v>
      </c>
      <c r="C30" s="43">
        <v>0.33</v>
      </c>
      <c r="D30" s="43">
        <v>0.1</v>
      </c>
      <c r="E30" s="43">
        <v>0.08</v>
      </c>
      <c r="F30" s="43">
        <v>0.18</v>
      </c>
      <c r="G30" s="43">
        <v>0.15</v>
      </c>
    </row>
    <row r="31" spans="1:7" x14ac:dyDescent="0.2">
      <c r="A31" s="42" t="s">
        <v>164</v>
      </c>
      <c r="B31" s="42" t="s">
        <v>13</v>
      </c>
      <c r="C31" s="43">
        <v>0.33</v>
      </c>
      <c r="D31" s="43">
        <v>0.15</v>
      </c>
      <c r="E31" s="43">
        <v>0.08</v>
      </c>
      <c r="F31" s="43">
        <v>0.13</v>
      </c>
      <c r="G31" s="43">
        <v>0.1</v>
      </c>
    </row>
    <row r="32" spans="1:7" x14ac:dyDescent="0.2">
      <c r="A32" s="42" t="s">
        <v>165</v>
      </c>
      <c r="B32" s="42" t="s">
        <v>12</v>
      </c>
      <c r="C32" s="43">
        <v>0.33</v>
      </c>
      <c r="D32" s="43">
        <v>0.1</v>
      </c>
      <c r="E32" s="43">
        <v>0.08</v>
      </c>
      <c r="F32" s="43">
        <v>0.18</v>
      </c>
      <c r="G32" s="43">
        <v>0.15</v>
      </c>
    </row>
    <row r="33" spans="1:7" x14ac:dyDescent="0.2">
      <c r="A33" s="42" t="s">
        <v>166</v>
      </c>
      <c r="B33" s="42" t="s">
        <v>13</v>
      </c>
      <c r="C33" s="43">
        <v>0.33</v>
      </c>
      <c r="D33" s="43">
        <v>0.15</v>
      </c>
      <c r="E33" s="43">
        <v>0.08</v>
      </c>
      <c r="F33" s="43">
        <v>0.13</v>
      </c>
      <c r="G33" s="43">
        <v>0.1</v>
      </c>
    </row>
    <row r="34" spans="1:7" x14ac:dyDescent="0.2">
      <c r="A34" s="42" t="s">
        <v>167</v>
      </c>
      <c r="B34" s="42" t="s">
        <v>14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</row>
    <row r="35" spans="1:7" x14ac:dyDescent="0.2">
      <c r="A35" s="42" t="s">
        <v>168</v>
      </c>
      <c r="B35" s="42" t="s">
        <v>15</v>
      </c>
      <c r="C35" s="43">
        <v>0.18</v>
      </c>
      <c r="D35" s="43">
        <v>0</v>
      </c>
      <c r="E35" s="43">
        <v>0</v>
      </c>
      <c r="F35" s="43">
        <v>0</v>
      </c>
      <c r="G35" s="43">
        <v>0</v>
      </c>
    </row>
    <row r="36" spans="1:7" x14ac:dyDescent="0.2">
      <c r="A36" s="42" t="s">
        <v>169</v>
      </c>
      <c r="B36" s="42" t="s">
        <v>16</v>
      </c>
      <c r="C36" s="43">
        <v>0.18</v>
      </c>
      <c r="D36" s="43">
        <v>0</v>
      </c>
      <c r="E36" s="43">
        <v>0</v>
      </c>
      <c r="F36" s="43">
        <v>0</v>
      </c>
      <c r="G36" s="43">
        <v>0</v>
      </c>
    </row>
    <row r="37" spans="1:7" x14ac:dyDescent="0.2">
      <c r="A37" s="42" t="s">
        <v>170</v>
      </c>
      <c r="B37" s="42" t="s">
        <v>16</v>
      </c>
      <c r="C37" s="43">
        <v>0.18</v>
      </c>
      <c r="D37" s="43">
        <v>0</v>
      </c>
      <c r="E37" s="43">
        <v>0</v>
      </c>
      <c r="F37" s="43">
        <v>0</v>
      </c>
      <c r="G37" s="43">
        <v>0</v>
      </c>
    </row>
    <row r="38" spans="1:7" x14ac:dyDescent="0.2">
      <c r="A38" s="42" t="s">
        <v>171</v>
      </c>
      <c r="B38" s="42" t="s">
        <v>53</v>
      </c>
      <c r="C38" s="43">
        <v>0.28000000000000003</v>
      </c>
      <c r="D38" s="43">
        <v>0.18</v>
      </c>
      <c r="E38" s="43">
        <v>0.1</v>
      </c>
      <c r="F38" s="43">
        <v>0.1</v>
      </c>
      <c r="G38" s="43">
        <v>0.18</v>
      </c>
    </row>
    <row r="39" spans="1:7" x14ac:dyDescent="0.2">
      <c r="A39" s="42" t="s">
        <v>172</v>
      </c>
      <c r="B39" s="42" t="s">
        <v>55</v>
      </c>
      <c r="C39" s="43">
        <v>0.28000000000000003</v>
      </c>
      <c r="D39" s="43">
        <v>0.18</v>
      </c>
      <c r="E39" s="43">
        <v>0.1</v>
      </c>
      <c r="F39" s="43">
        <v>0.1</v>
      </c>
      <c r="G39" s="43">
        <v>0.18</v>
      </c>
    </row>
    <row r="40" spans="1:7" x14ac:dyDescent="0.2">
      <c r="A40" s="42" t="s">
        <v>173</v>
      </c>
      <c r="B40" s="42" t="s">
        <v>56</v>
      </c>
      <c r="C40" s="43">
        <v>0.28000000000000003</v>
      </c>
      <c r="D40" s="43">
        <v>0.18</v>
      </c>
      <c r="E40" s="43">
        <v>0.1</v>
      </c>
      <c r="F40" s="43">
        <v>0.1</v>
      </c>
      <c r="G40" s="43">
        <v>0.18</v>
      </c>
    </row>
    <row r="41" spans="1:7" x14ac:dyDescent="0.2">
      <c r="A41" s="42" t="s">
        <v>174</v>
      </c>
      <c r="B41" s="42" t="s">
        <v>57</v>
      </c>
      <c r="C41" s="43">
        <v>0.33</v>
      </c>
      <c r="D41" s="43">
        <v>0.33</v>
      </c>
      <c r="E41" s="43">
        <v>0.3</v>
      </c>
      <c r="F41" s="43">
        <v>0.33</v>
      </c>
      <c r="G41" s="43">
        <v>0.33</v>
      </c>
    </row>
    <row r="42" spans="1:7" x14ac:dyDescent="0.2">
      <c r="A42" s="42" t="s">
        <v>175</v>
      </c>
      <c r="B42" s="42" t="s">
        <v>61</v>
      </c>
      <c r="C42" s="43">
        <v>0.33</v>
      </c>
      <c r="D42" s="43">
        <v>0.33</v>
      </c>
      <c r="E42" s="43">
        <v>0.3</v>
      </c>
      <c r="F42" s="43">
        <v>0.33</v>
      </c>
      <c r="G42" s="43">
        <v>0.33</v>
      </c>
    </row>
    <row r="43" spans="1:7" x14ac:dyDescent="0.2">
      <c r="A43" s="42" t="s">
        <v>176</v>
      </c>
      <c r="B43" s="42" t="s">
        <v>59</v>
      </c>
      <c r="C43" s="43">
        <v>0.33</v>
      </c>
      <c r="D43" s="43">
        <v>0.33</v>
      </c>
      <c r="E43" s="43">
        <v>0.3</v>
      </c>
      <c r="F43" s="43">
        <v>0.33</v>
      </c>
      <c r="G43" s="43">
        <v>0.33</v>
      </c>
    </row>
    <row r="44" spans="1:7" x14ac:dyDescent="0.2">
      <c r="A44" s="42" t="s">
        <v>177</v>
      </c>
      <c r="B44" s="42" t="s">
        <v>60</v>
      </c>
      <c r="C44" s="43">
        <v>0.33</v>
      </c>
      <c r="D44" s="43">
        <v>0.33</v>
      </c>
      <c r="E44" s="43">
        <v>0.27</v>
      </c>
      <c r="F44" s="43">
        <v>0.27</v>
      </c>
      <c r="G44" s="43">
        <v>0.33</v>
      </c>
    </row>
    <row r="45" spans="1:7" x14ac:dyDescent="0.2">
      <c r="A45" s="42" t="s">
        <v>178</v>
      </c>
      <c r="B45" s="42" t="s">
        <v>60</v>
      </c>
      <c r="C45" s="43">
        <v>0.33</v>
      </c>
      <c r="D45" s="43">
        <v>0.33</v>
      </c>
      <c r="E45" s="43">
        <v>0.27</v>
      </c>
      <c r="F45" s="43">
        <v>0.27</v>
      </c>
      <c r="G45" s="43">
        <v>0.33</v>
      </c>
    </row>
    <row r="46" spans="1:7" x14ac:dyDescent="0.2">
      <c r="A46" s="42" t="s">
        <v>179</v>
      </c>
      <c r="B46" s="42" t="s">
        <v>60</v>
      </c>
      <c r="C46" s="43">
        <v>0.33</v>
      </c>
      <c r="D46" s="43">
        <v>0.33</v>
      </c>
      <c r="E46" s="43">
        <v>0.27</v>
      </c>
      <c r="F46" s="43">
        <v>0.27</v>
      </c>
      <c r="G46" s="43">
        <v>0.33</v>
      </c>
    </row>
    <row r="47" spans="1:7" x14ac:dyDescent="0.2">
      <c r="A47" s="42" t="s">
        <v>99</v>
      </c>
      <c r="B47" s="42" t="s">
        <v>99</v>
      </c>
      <c r="C47" s="43">
        <v>0.15</v>
      </c>
      <c r="D47" s="43">
        <v>0.2</v>
      </c>
      <c r="E47" s="43">
        <v>0.2</v>
      </c>
      <c r="F47" s="43">
        <v>0.2</v>
      </c>
      <c r="G47" s="43">
        <v>0.15</v>
      </c>
    </row>
    <row r="48" spans="1:7" x14ac:dyDescent="0.2">
      <c r="A48" s="42" t="s">
        <v>100</v>
      </c>
      <c r="B48" s="42" t="s">
        <v>100</v>
      </c>
      <c r="C48" s="43">
        <v>0.2</v>
      </c>
      <c r="D48" s="43">
        <v>0.2</v>
      </c>
      <c r="E48" s="43">
        <v>0.2</v>
      </c>
      <c r="F48" s="43">
        <v>0.2</v>
      </c>
      <c r="G48" s="43">
        <v>0.15</v>
      </c>
    </row>
    <row r="49" spans="1:7" x14ac:dyDescent="0.2">
      <c r="A49" s="42" t="s">
        <v>101</v>
      </c>
      <c r="B49" s="42" t="s">
        <v>101</v>
      </c>
      <c r="C49" s="43">
        <v>0.2</v>
      </c>
      <c r="D49" s="43">
        <v>0.15</v>
      </c>
      <c r="E49" s="43">
        <v>0.15</v>
      </c>
      <c r="F49" s="43">
        <v>0.15</v>
      </c>
      <c r="G49" s="43">
        <v>0</v>
      </c>
    </row>
    <row r="50" spans="1:7" x14ac:dyDescent="0.2">
      <c r="A50" s="42" t="s">
        <v>102</v>
      </c>
      <c r="B50" s="42" t="s">
        <v>102</v>
      </c>
      <c r="C50" s="43">
        <v>0.15</v>
      </c>
      <c r="D50" s="43">
        <v>0.15</v>
      </c>
      <c r="E50" s="43">
        <v>0.1</v>
      </c>
      <c r="F50" s="43">
        <v>0.15</v>
      </c>
      <c r="G50" s="43">
        <v>0.15</v>
      </c>
    </row>
    <row r="51" spans="1:7" x14ac:dyDescent="0.2">
      <c r="A51" s="42" t="s">
        <v>180</v>
      </c>
      <c r="B51" s="42" t="s">
        <v>103</v>
      </c>
      <c r="C51" s="43">
        <v>0.33</v>
      </c>
      <c r="D51" s="43">
        <v>0.23</v>
      </c>
      <c r="E51" s="43">
        <v>0.24</v>
      </c>
      <c r="F51" s="43">
        <v>0.3</v>
      </c>
      <c r="G51" s="43">
        <v>0.33</v>
      </c>
    </row>
    <row r="52" spans="1:7" x14ac:dyDescent="0.2">
      <c r="A52" s="42" t="s">
        <v>181</v>
      </c>
      <c r="B52" s="42" t="s">
        <v>104</v>
      </c>
      <c r="C52" s="43">
        <v>0.33</v>
      </c>
      <c r="D52" s="43">
        <v>0.23</v>
      </c>
      <c r="E52" s="43">
        <v>0.21</v>
      </c>
      <c r="F52" s="43">
        <v>0.3</v>
      </c>
      <c r="G52" s="43">
        <v>0.33</v>
      </c>
    </row>
    <row r="53" spans="1:7" x14ac:dyDescent="0.2">
      <c r="A53" s="42" t="s">
        <v>182</v>
      </c>
      <c r="B53" s="42" t="s">
        <v>104</v>
      </c>
      <c r="C53" s="43">
        <v>0.33</v>
      </c>
      <c r="D53" s="43">
        <v>0.23</v>
      </c>
      <c r="E53" s="43">
        <v>0.21</v>
      </c>
      <c r="F53" s="43">
        <v>0.3</v>
      </c>
      <c r="G53" s="43">
        <v>0.33</v>
      </c>
    </row>
    <row r="54" spans="1:7" x14ac:dyDescent="0.2">
      <c r="A54" s="42" t="s">
        <v>183</v>
      </c>
      <c r="B54" s="42" t="s">
        <v>69</v>
      </c>
      <c r="C54" s="43">
        <v>0.33</v>
      </c>
      <c r="D54" s="43">
        <v>0.18</v>
      </c>
      <c r="E54" s="43">
        <v>0.18</v>
      </c>
      <c r="F54" s="43">
        <v>0.18</v>
      </c>
      <c r="G54" s="43">
        <v>0.33</v>
      </c>
    </row>
    <row r="55" spans="1:7" x14ac:dyDescent="0.2">
      <c r="A55" s="42" t="s">
        <v>184</v>
      </c>
      <c r="B55" s="42" t="s">
        <v>70</v>
      </c>
      <c r="C55" s="43">
        <v>0.33</v>
      </c>
      <c r="D55" s="43">
        <v>0.18</v>
      </c>
      <c r="E55" s="43">
        <v>0.18</v>
      </c>
      <c r="F55" s="43">
        <v>0.18</v>
      </c>
      <c r="G55" s="43">
        <v>0.33</v>
      </c>
    </row>
    <row r="56" spans="1:7" x14ac:dyDescent="0.2">
      <c r="A56" s="42" t="s">
        <v>185</v>
      </c>
      <c r="B56" s="42" t="s">
        <v>186</v>
      </c>
      <c r="C56" s="37">
        <v>0.08</v>
      </c>
      <c r="D56" s="37">
        <v>0.1</v>
      </c>
      <c r="E56" s="37">
        <v>0</v>
      </c>
      <c r="F56" s="37">
        <v>0</v>
      </c>
      <c r="G56" s="37">
        <v>0.15</v>
      </c>
    </row>
    <row r="57" spans="1:7" x14ac:dyDescent="0.2">
      <c r="A57" s="42" t="s">
        <v>187</v>
      </c>
      <c r="B57" s="42" t="s">
        <v>186</v>
      </c>
      <c r="C57" s="37">
        <v>0.08</v>
      </c>
      <c r="D57" s="37">
        <v>0.1</v>
      </c>
      <c r="E57" s="37">
        <v>0</v>
      </c>
      <c r="F57" s="37">
        <v>0</v>
      </c>
      <c r="G57" s="37">
        <v>0.15</v>
      </c>
    </row>
    <row r="58" spans="1:7" x14ac:dyDescent="0.2">
      <c r="A58" s="42" t="s">
        <v>188</v>
      </c>
      <c r="B58" s="42" t="s">
        <v>74</v>
      </c>
      <c r="C58" s="43">
        <v>0.18</v>
      </c>
      <c r="D58" s="43">
        <v>0.1</v>
      </c>
      <c r="E58" s="43">
        <v>0</v>
      </c>
      <c r="F58" s="43">
        <v>0</v>
      </c>
      <c r="G58" s="43">
        <v>0.15</v>
      </c>
    </row>
    <row r="59" spans="1:7" x14ac:dyDescent="0.2">
      <c r="A59" s="42" t="s">
        <v>189</v>
      </c>
      <c r="B59" s="42" t="s">
        <v>73</v>
      </c>
      <c r="C59" s="43">
        <v>0.08</v>
      </c>
      <c r="D59" s="43">
        <v>0.1</v>
      </c>
      <c r="E59" s="43">
        <v>0</v>
      </c>
      <c r="F59" s="43">
        <v>0</v>
      </c>
      <c r="G59" s="43">
        <v>2.5000000000000001E-2</v>
      </c>
    </row>
    <row r="60" spans="1:7" x14ac:dyDescent="0.2">
      <c r="A60" s="42" t="s">
        <v>105</v>
      </c>
      <c r="B60" s="42" t="s">
        <v>105</v>
      </c>
      <c r="C60" s="43">
        <v>0.1</v>
      </c>
      <c r="D60" s="43">
        <v>0.2</v>
      </c>
      <c r="E60" s="43">
        <v>0.1</v>
      </c>
      <c r="F60" s="43">
        <v>0.2</v>
      </c>
      <c r="G60" s="43">
        <v>0.2</v>
      </c>
    </row>
    <row r="61" spans="1:7" x14ac:dyDescent="0.2">
      <c r="A61" s="42" t="s">
        <v>190</v>
      </c>
      <c r="B61" s="42" t="s">
        <v>17</v>
      </c>
      <c r="C61" s="43">
        <v>0.18</v>
      </c>
      <c r="D61" s="43">
        <v>0</v>
      </c>
      <c r="E61" s="43">
        <v>0</v>
      </c>
      <c r="F61" s="43">
        <v>0</v>
      </c>
      <c r="G61" s="43">
        <v>0</v>
      </c>
    </row>
    <row r="62" spans="1:7" x14ac:dyDescent="0.2">
      <c r="A62" s="42" t="s">
        <v>191</v>
      </c>
      <c r="B62" s="42" t="s">
        <v>18</v>
      </c>
      <c r="C62" s="43">
        <v>0.18</v>
      </c>
      <c r="D62" s="43">
        <v>0</v>
      </c>
      <c r="E62" s="43">
        <v>0</v>
      </c>
      <c r="F62" s="43">
        <v>0</v>
      </c>
      <c r="G62" s="43">
        <v>0</v>
      </c>
    </row>
    <row r="63" spans="1:7" x14ac:dyDescent="0.2">
      <c r="A63" s="42" t="s">
        <v>192</v>
      </c>
      <c r="B63" s="42" t="s">
        <v>18</v>
      </c>
      <c r="C63" s="43">
        <v>0.18</v>
      </c>
      <c r="D63" s="43">
        <v>0</v>
      </c>
      <c r="E63" s="43">
        <v>0</v>
      </c>
      <c r="F63" s="43">
        <v>0</v>
      </c>
      <c r="G63" s="43">
        <v>0</v>
      </c>
    </row>
    <row r="64" spans="1:7" x14ac:dyDescent="0.2">
      <c r="A64" s="42" t="s">
        <v>193</v>
      </c>
      <c r="B64" s="42" t="s">
        <v>19</v>
      </c>
      <c r="C64" s="43">
        <v>0.33</v>
      </c>
      <c r="D64" s="43">
        <v>0.05</v>
      </c>
      <c r="E64" s="43">
        <v>0.28000000000000003</v>
      </c>
      <c r="F64" s="43">
        <v>0.1</v>
      </c>
      <c r="G64" s="43">
        <v>0.33</v>
      </c>
    </row>
    <row r="65" spans="1:7" x14ac:dyDescent="0.2">
      <c r="A65" s="42" t="s">
        <v>194</v>
      </c>
      <c r="B65" s="42" t="s">
        <v>20</v>
      </c>
      <c r="C65" s="43">
        <v>0.33</v>
      </c>
      <c r="D65" s="43">
        <v>0.05</v>
      </c>
      <c r="E65" s="43">
        <v>0.28000000000000003</v>
      </c>
      <c r="F65" s="43">
        <v>0.1</v>
      </c>
      <c r="G65" s="43">
        <v>0.33</v>
      </c>
    </row>
    <row r="66" spans="1:7" x14ac:dyDescent="0.2">
      <c r="A66" s="42" t="s">
        <v>106</v>
      </c>
      <c r="B66" s="42" t="s">
        <v>106</v>
      </c>
      <c r="C66" s="43">
        <v>0</v>
      </c>
      <c r="D66" s="43">
        <v>0.2</v>
      </c>
      <c r="E66" s="43">
        <v>0</v>
      </c>
      <c r="F66" s="43">
        <v>0.2</v>
      </c>
      <c r="G66" s="43">
        <v>0.1</v>
      </c>
    </row>
    <row r="67" spans="1:7" x14ac:dyDescent="0.2">
      <c r="A67" s="42" t="s">
        <v>195</v>
      </c>
      <c r="B67" s="42" t="s">
        <v>75</v>
      </c>
      <c r="C67" s="43">
        <v>0.23</v>
      </c>
      <c r="D67" s="43">
        <v>0.28000000000000003</v>
      </c>
      <c r="E67" s="43">
        <v>0</v>
      </c>
      <c r="F67" s="43">
        <v>0</v>
      </c>
      <c r="G67" s="43">
        <v>0.33</v>
      </c>
    </row>
    <row r="68" spans="1:7" x14ac:dyDescent="0.2">
      <c r="A68" s="42" t="s">
        <v>196</v>
      </c>
      <c r="B68" s="42" t="s">
        <v>75</v>
      </c>
      <c r="C68" s="43">
        <v>0.23</v>
      </c>
      <c r="D68" s="43">
        <v>0.28000000000000003</v>
      </c>
      <c r="E68" s="43">
        <v>0</v>
      </c>
      <c r="F68" s="43">
        <v>0</v>
      </c>
      <c r="G68" s="43">
        <v>0.33</v>
      </c>
    </row>
    <row r="69" spans="1:7" x14ac:dyDescent="0.2">
      <c r="A69" s="42" t="s">
        <v>197</v>
      </c>
      <c r="B69" s="42" t="s">
        <v>75</v>
      </c>
      <c r="C69" s="43">
        <v>0.23</v>
      </c>
      <c r="D69" s="43">
        <v>0.28000000000000003</v>
      </c>
      <c r="E69" s="43">
        <v>0</v>
      </c>
      <c r="F69" s="43">
        <v>0</v>
      </c>
      <c r="G69" s="43">
        <v>0.33</v>
      </c>
    </row>
    <row r="70" spans="1:7" x14ac:dyDescent="0.2">
      <c r="A70" s="42" t="s">
        <v>198</v>
      </c>
      <c r="B70" s="42" t="s">
        <v>76</v>
      </c>
      <c r="C70" s="43">
        <v>0.23</v>
      </c>
      <c r="D70" s="43">
        <v>0.18</v>
      </c>
      <c r="E70" s="43">
        <v>0</v>
      </c>
      <c r="F70" s="43">
        <v>0</v>
      </c>
      <c r="G70" s="43">
        <v>0.33</v>
      </c>
    </row>
    <row r="71" spans="1:7" x14ac:dyDescent="0.2">
      <c r="A71" s="42" t="s">
        <v>199</v>
      </c>
      <c r="B71" s="42" t="s">
        <v>78</v>
      </c>
      <c r="C71" s="43">
        <v>0.33</v>
      </c>
      <c r="D71" s="43">
        <v>0.33</v>
      </c>
      <c r="E71" s="43">
        <v>0.18</v>
      </c>
      <c r="F71" s="43">
        <v>0.28000000000000003</v>
      </c>
      <c r="G71" s="43">
        <v>0.28000000000000003</v>
      </c>
    </row>
    <row r="72" spans="1:7" x14ac:dyDescent="0.2">
      <c r="A72" s="42" t="s">
        <v>200</v>
      </c>
      <c r="B72" s="42" t="s">
        <v>79</v>
      </c>
      <c r="C72" s="43">
        <v>0.33</v>
      </c>
      <c r="D72" s="43">
        <v>0.33</v>
      </c>
      <c r="E72" s="43">
        <v>0.18</v>
      </c>
      <c r="F72" s="43">
        <v>0.28000000000000003</v>
      </c>
      <c r="G72" s="43">
        <v>0.28000000000000003</v>
      </c>
    </row>
    <row r="73" spans="1:7" x14ac:dyDescent="0.2">
      <c r="A73" s="42" t="s">
        <v>201</v>
      </c>
      <c r="B73" s="42" t="s">
        <v>107</v>
      </c>
      <c r="C73" s="43">
        <v>0.33</v>
      </c>
      <c r="D73" s="43">
        <v>0.28000000000000003</v>
      </c>
      <c r="E73" s="43">
        <v>0.28000000000000003</v>
      </c>
      <c r="F73" s="43">
        <v>0.32</v>
      </c>
      <c r="G73" s="43">
        <v>0.33</v>
      </c>
    </row>
    <row r="74" spans="1:7" x14ac:dyDescent="0.2">
      <c r="A74" s="42" t="s">
        <v>202</v>
      </c>
      <c r="B74" s="42" t="s">
        <v>108</v>
      </c>
      <c r="C74" s="43">
        <v>0.33</v>
      </c>
      <c r="D74" s="43">
        <v>0.28000000000000003</v>
      </c>
      <c r="E74" s="43">
        <v>0.28000000000000003</v>
      </c>
      <c r="F74" s="43">
        <v>0.32</v>
      </c>
      <c r="G74" s="43">
        <v>0.33</v>
      </c>
    </row>
    <row r="75" spans="1:7" x14ac:dyDescent="0.2">
      <c r="A75" s="42" t="s">
        <v>203</v>
      </c>
      <c r="B75" s="42" t="s">
        <v>108</v>
      </c>
      <c r="C75" s="43">
        <v>0.33</v>
      </c>
      <c r="D75" s="43">
        <v>0.28000000000000003</v>
      </c>
      <c r="E75" s="43">
        <v>0.28000000000000003</v>
      </c>
      <c r="F75" s="43">
        <v>0.32</v>
      </c>
      <c r="G75" s="43">
        <v>0.33</v>
      </c>
    </row>
    <row r="76" spans="1:7" x14ac:dyDescent="0.2">
      <c r="A76" s="42" t="s">
        <v>204</v>
      </c>
      <c r="B76" s="42" t="s">
        <v>108</v>
      </c>
      <c r="C76" s="43">
        <v>0.33</v>
      </c>
      <c r="D76" s="43">
        <v>0.28000000000000003</v>
      </c>
      <c r="E76" s="43">
        <v>0.28000000000000003</v>
      </c>
      <c r="F76" s="43">
        <v>0.32</v>
      </c>
      <c r="G76" s="43">
        <v>0.33</v>
      </c>
    </row>
    <row r="77" spans="1:7" x14ac:dyDescent="0.2">
      <c r="A77" s="42" t="s">
        <v>205</v>
      </c>
      <c r="B77" s="42" t="s">
        <v>108</v>
      </c>
      <c r="C77" s="43">
        <v>0.33</v>
      </c>
      <c r="D77" s="43">
        <v>0.28000000000000003</v>
      </c>
      <c r="E77" s="43">
        <v>0.28000000000000003</v>
      </c>
      <c r="F77" s="43">
        <v>0.32</v>
      </c>
      <c r="G77" s="43">
        <v>0.33</v>
      </c>
    </row>
  </sheetData>
  <mergeCells count="5">
    <mergeCell ref="G4:G5"/>
    <mergeCell ref="B2:H2"/>
    <mergeCell ref="C4:D4"/>
    <mergeCell ref="E4:E5"/>
    <mergeCell ref="F4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B3A7-EA46-470A-87A0-14F8C92B8E05}">
  <sheetPr filterMode="1"/>
  <dimension ref="A2:H75"/>
  <sheetViews>
    <sheetView workbookViewId="0">
      <selection activeCell="H16" sqref="H16"/>
    </sheetView>
  </sheetViews>
  <sheetFormatPr defaultColWidth="9.140625" defaultRowHeight="11.25" x14ac:dyDescent="0.2"/>
  <cols>
    <col min="1" max="1" width="20.5703125" style="9" bestFit="1" customWidth="1"/>
    <col min="2" max="2" width="52.42578125" style="9" bestFit="1" customWidth="1"/>
    <col min="3" max="3" width="10.28515625" style="9" bestFit="1" customWidth="1"/>
    <col min="4" max="4" width="13" style="9" bestFit="1" customWidth="1"/>
    <col min="5" max="5" width="14.140625" style="9" bestFit="1" customWidth="1"/>
    <col min="6" max="6" width="11.42578125" style="9" bestFit="1" customWidth="1"/>
    <col min="7" max="7" width="10.28515625" style="9" bestFit="1" customWidth="1"/>
    <col min="8" max="8" width="13" style="9" bestFit="1" customWidth="1"/>
    <col min="9" max="16384" width="9.140625" style="9"/>
  </cols>
  <sheetData>
    <row r="2" spans="1:8" x14ac:dyDescent="0.2">
      <c r="C2" s="137" t="s">
        <v>32</v>
      </c>
      <c r="D2" s="138"/>
      <c r="E2" s="138"/>
      <c r="F2" s="138"/>
      <c r="G2" s="137" t="s">
        <v>30</v>
      </c>
      <c r="H2" s="138"/>
    </row>
    <row r="3" spans="1:8" x14ac:dyDescent="0.2">
      <c r="A3" s="45" t="s">
        <v>143</v>
      </c>
      <c r="B3" s="45" t="s">
        <v>144</v>
      </c>
      <c r="C3" s="48" t="s">
        <v>34</v>
      </c>
      <c r="D3" s="48" t="s">
        <v>35</v>
      </c>
      <c r="E3" s="48" t="s">
        <v>36</v>
      </c>
      <c r="F3" s="48" t="s">
        <v>37</v>
      </c>
      <c r="G3" s="48" t="s">
        <v>34</v>
      </c>
      <c r="H3" s="48" t="s">
        <v>35</v>
      </c>
    </row>
    <row r="4" spans="1:8" hidden="1" x14ac:dyDescent="0.2">
      <c r="A4" s="49" t="s">
        <v>145</v>
      </c>
      <c r="B4" s="49" t="s">
        <v>7</v>
      </c>
      <c r="C4" s="64">
        <v>0.44999999999999996</v>
      </c>
      <c r="D4" s="64">
        <v>0.43479437089021744</v>
      </c>
      <c r="E4" s="64">
        <v>0.44999999999999996</v>
      </c>
      <c r="F4" s="64">
        <v>0.38</v>
      </c>
      <c r="G4" s="64">
        <v>0.54</v>
      </c>
      <c r="H4" s="64">
        <v>0.54</v>
      </c>
    </row>
    <row r="5" spans="1:8" s="39" customFormat="1" hidden="1" x14ac:dyDescent="0.2">
      <c r="A5" s="50" t="s">
        <v>146</v>
      </c>
      <c r="B5" s="50" t="s">
        <v>10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</row>
    <row r="6" spans="1:8" hidden="1" x14ac:dyDescent="0.2">
      <c r="A6" s="49" t="s">
        <v>147</v>
      </c>
      <c r="B6" s="49" t="s">
        <v>9</v>
      </c>
      <c r="C6" s="64">
        <v>0.44999999999999996</v>
      </c>
      <c r="D6" s="64">
        <v>0.27</v>
      </c>
      <c r="E6" s="64">
        <v>0.32</v>
      </c>
      <c r="F6" s="64">
        <v>0.44999999999999996</v>
      </c>
      <c r="G6" s="64">
        <v>0.5</v>
      </c>
      <c r="H6" s="64">
        <v>0.5</v>
      </c>
    </row>
    <row r="7" spans="1:8" hidden="1" x14ac:dyDescent="0.2">
      <c r="A7" s="49" t="s">
        <v>93</v>
      </c>
      <c r="B7" s="49" t="s">
        <v>93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</row>
    <row r="8" spans="1:8" hidden="1" x14ac:dyDescent="0.2">
      <c r="A8" s="50" t="s">
        <v>148</v>
      </c>
      <c r="B8" s="50" t="s">
        <v>94</v>
      </c>
      <c r="C8" s="64">
        <v>0</v>
      </c>
      <c r="D8" s="64">
        <v>0</v>
      </c>
      <c r="E8" s="64">
        <v>0</v>
      </c>
      <c r="F8" s="64">
        <v>0</v>
      </c>
      <c r="G8" s="65">
        <v>0</v>
      </c>
      <c r="H8" s="65">
        <v>0</v>
      </c>
    </row>
    <row r="9" spans="1:8" hidden="1" x14ac:dyDescent="0.2">
      <c r="A9" s="50" t="s">
        <v>149</v>
      </c>
      <c r="B9" s="50" t="s">
        <v>96</v>
      </c>
      <c r="C9" s="64">
        <v>0</v>
      </c>
      <c r="D9" s="64">
        <v>0</v>
      </c>
      <c r="E9" s="64">
        <v>0</v>
      </c>
      <c r="F9" s="64">
        <v>0</v>
      </c>
      <c r="G9" s="65">
        <v>0</v>
      </c>
      <c r="H9" s="65">
        <v>0</v>
      </c>
    </row>
    <row r="10" spans="1:8" hidden="1" x14ac:dyDescent="0.2">
      <c r="A10" s="50" t="s">
        <v>150</v>
      </c>
      <c r="B10" s="50" t="s">
        <v>95</v>
      </c>
      <c r="C10" s="64">
        <v>0</v>
      </c>
      <c r="D10" s="64">
        <v>0</v>
      </c>
      <c r="E10" s="64">
        <v>0</v>
      </c>
      <c r="F10" s="64">
        <v>0</v>
      </c>
      <c r="G10" s="65">
        <v>0</v>
      </c>
      <c r="H10" s="65">
        <v>0</v>
      </c>
    </row>
    <row r="11" spans="1:8" s="39" customFormat="1" hidden="1" x14ac:dyDescent="0.2">
      <c r="A11" s="50" t="s">
        <v>97</v>
      </c>
      <c r="B11" s="50" t="s">
        <v>97</v>
      </c>
      <c r="C11" s="64">
        <v>0</v>
      </c>
      <c r="D11" s="64">
        <v>0</v>
      </c>
      <c r="E11" s="64">
        <v>0</v>
      </c>
      <c r="F11" s="64">
        <v>0</v>
      </c>
      <c r="G11" s="65">
        <v>0.54999999999999993</v>
      </c>
      <c r="H11" s="65">
        <v>0.54999999999999993</v>
      </c>
    </row>
    <row r="12" spans="1:8" hidden="1" x14ac:dyDescent="0.2">
      <c r="A12" s="49" t="s">
        <v>62</v>
      </c>
      <c r="B12" s="49" t="s">
        <v>62</v>
      </c>
      <c r="C12" s="64">
        <v>0.36575105322356438</v>
      </c>
      <c r="D12" s="64">
        <v>0.24007668818964356</v>
      </c>
      <c r="E12" s="64">
        <v>0.32758262033778562</v>
      </c>
      <c r="F12" s="64">
        <v>0.38900000000000001</v>
      </c>
      <c r="G12" s="64">
        <v>0.54999999999999993</v>
      </c>
      <c r="H12" s="64">
        <v>0.54999999999999993</v>
      </c>
    </row>
    <row r="13" spans="1:8" s="39" customFormat="1" hidden="1" x14ac:dyDescent="0.2">
      <c r="A13" s="50" t="s">
        <v>151</v>
      </c>
      <c r="B13" s="50" t="s">
        <v>109</v>
      </c>
      <c r="C13" s="64">
        <v>0</v>
      </c>
      <c r="D13" s="64">
        <v>0</v>
      </c>
      <c r="E13" s="64">
        <v>0</v>
      </c>
      <c r="F13" s="64">
        <v>0</v>
      </c>
      <c r="G13" s="65">
        <v>0.47</v>
      </c>
      <c r="H13" s="65">
        <v>0.47</v>
      </c>
    </row>
    <row r="14" spans="1:8" hidden="1" x14ac:dyDescent="0.2">
      <c r="A14" s="49" t="s">
        <v>152</v>
      </c>
      <c r="B14" s="49" t="s">
        <v>110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</row>
    <row r="15" spans="1:8" hidden="1" x14ac:dyDescent="0.2">
      <c r="A15" s="49" t="s">
        <v>63</v>
      </c>
      <c r="B15" s="49" t="s">
        <v>63</v>
      </c>
      <c r="C15" s="64">
        <v>0.32</v>
      </c>
      <c r="D15" s="64">
        <v>0.15</v>
      </c>
      <c r="E15" s="64">
        <v>0.23</v>
      </c>
      <c r="F15" s="64">
        <v>0.37</v>
      </c>
      <c r="G15" s="64">
        <v>0.55000000000000004</v>
      </c>
      <c r="H15" s="64">
        <v>0.51</v>
      </c>
    </row>
    <row r="16" spans="1:8" x14ac:dyDescent="0.2">
      <c r="A16" s="49" t="s">
        <v>52</v>
      </c>
      <c r="B16" s="49" t="s">
        <v>52</v>
      </c>
      <c r="C16" s="64">
        <v>0.45</v>
      </c>
      <c r="D16" s="64">
        <v>0.45</v>
      </c>
      <c r="E16" s="64">
        <v>0.45</v>
      </c>
      <c r="F16" s="64">
        <v>0.45</v>
      </c>
      <c r="G16" s="64">
        <v>0.5</v>
      </c>
      <c r="H16" s="64">
        <v>0.5</v>
      </c>
    </row>
    <row r="17" spans="1:8" hidden="1" x14ac:dyDescent="0.2">
      <c r="A17" s="49" t="s">
        <v>153</v>
      </c>
      <c r="B17" s="49" t="s">
        <v>113</v>
      </c>
      <c r="C17" s="64">
        <v>0.44999999999999996</v>
      </c>
      <c r="D17" s="64">
        <v>0.4050727070174962</v>
      </c>
      <c r="E17" s="64">
        <v>0.4492094013655703</v>
      </c>
      <c r="F17" s="64">
        <v>0.44999999999999996</v>
      </c>
      <c r="G17" s="64">
        <v>0.55000000000000004</v>
      </c>
      <c r="H17" s="64">
        <v>0.55000000000000004</v>
      </c>
    </row>
    <row r="18" spans="1:8" s="39" customFormat="1" hidden="1" x14ac:dyDescent="0.2">
      <c r="A18" s="50" t="s">
        <v>154</v>
      </c>
      <c r="B18" s="50" t="s">
        <v>116</v>
      </c>
      <c r="C18" s="64">
        <v>0</v>
      </c>
      <c r="D18" s="64">
        <v>0</v>
      </c>
      <c r="E18" s="64">
        <v>0</v>
      </c>
      <c r="F18" s="64">
        <v>0</v>
      </c>
      <c r="G18" s="65">
        <v>0</v>
      </c>
      <c r="H18" s="65">
        <v>0</v>
      </c>
    </row>
    <row r="19" spans="1:8" hidden="1" x14ac:dyDescent="0.2">
      <c r="A19" s="49" t="s">
        <v>155</v>
      </c>
      <c r="B19" s="49" t="s">
        <v>114</v>
      </c>
      <c r="C19" s="64">
        <v>0</v>
      </c>
      <c r="D19" s="64">
        <v>0</v>
      </c>
      <c r="E19" s="64">
        <v>0</v>
      </c>
      <c r="F19" s="64">
        <v>0</v>
      </c>
      <c r="G19" s="64">
        <v>0.48</v>
      </c>
      <c r="H19" s="64">
        <v>0.48</v>
      </c>
    </row>
    <row r="20" spans="1:8" hidden="1" x14ac:dyDescent="0.2">
      <c r="A20" s="49" t="s">
        <v>156</v>
      </c>
      <c r="B20" s="49" t="s">
        <v>114</v>
      </c>
      <c r="C20" s="64">
        <v>0</v>
      </c>
      <c r="D20" s="64">
        <v>0</v>
      </c>
      <c r="E20" s="64">
        <v>0</v>
      </c>
      <c r="F20" s="64">
        <v>0</v>
      </c>
      <c r="G20" s="64">
        <v>0.48</v>
      </c>
      <c r="H20" s="64">
        <v>0.48</v>
      </c>
    </row>
    <row r="21" spans="1:8" s="39" customFormat="1" hidden="1" x14ac:dyDescent="0.2">
      <c r="A21" s="50" t="s">
        <v>157</v>
      </c>
      <c r="B21" s="50" t="s">
        <v>115</v>
      </c>
      <c r="C21" s="64">
        <v>0</v>
      </c>
      <c r="D21" s="64">
        <v>0</v>
      </c>
      <c r="E21" s="64">
        <v>0</v>
      </c>
      <c r="F21" s="64">
        <v>0</v>
      </c>
      <c r="G21" s="65">
        <v>0</v>
      </c>
      <c r="H21" s="65">
        <v>0</v>
      </c>
    </row>
    <row r="22" spans="1:8" hidden="1" x14ac:dyDescent="0.2">
      <c r="A22" s="49" t="s">
        <v>158</v>
      </c>
      <c r="B22" s="49" t="s">
        <v>64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</row>
    <row r="23" spans="1:8" hidden="1" x14ac:dyDescent="0.2">
      <c r="A23" s="49" t="s">
        <v>159</v>
      </c>
      <c r="B23" s="49" t="s">
        <v>65</v>
      </c>
      <c r="C23" s="64">
        <v>0.37165656364731436</v>
      </c>
      <c r="D23" s="64">
        <v>0.26287349007256422</v>
      </c>
      <c r="E23" s="64">
        <v>0.33697228389683476</v>
      </c>
      <c r="F23" s="64">
        <v>0.38900000000000001</v>
      </c>
      <c r="G23" s="64">
        <v>0.55000000000000004</v>
      </c>
      <c r="H23" s="64">
        <v>0.55000000000000004</v>
      </c>
    </row>
    <row r="24" spans="1:8" hidden="1" x14ac:dyDescent="0.2">
      <c r="A24" s="49" t="s">
        <v>160</v>
      </c>
      <c r="B24" s="49" t="s">
        <v>66</v>
      </c>
      <c r="C24" s="64">
        <v>0.37295694211438324</v>
      </c>
      <c r="D24" s="64">
        <v>0.25020398111645714</v>
      </c>
      <c r="E24" s="64">
        <v>0.33898616922758995</v>
      </c>
      <c r="F24" s="64">
        <v>0.38900000000000001</v>
      </c>
      <c r="G24" s="64">
        <v>0.55000000000000004</v>
      </c>
      <c r="H24" s="64">
        <v>0.55000000000000004</v>
      </c>
    </row>
    <row r="25" spans="1:8" hidden="1" x14ac:dyDescent="0.2">
      <c r="A25" s="49" t="s">
        <v>161</v>
      </c>
      <c r="B25" s="49" t="s">
        <v>67</v>
      </c>
      <c r="C25" s="64">
        <v>0.22311137438490936</v>
      </c>
      <c r="D25" s="64">
        <v>3.8676616415209919E-2</v>
      </c>
      <c r="E25" s="64">
        <v>0.14169177931121557</v>
      </c>
      <c r="F25" s="64">
        <v>0.32641664631233769</v>
      </c>
      <c r="G25" s="64">
        <v>0.55000000000000004</v>
      </c>
      <c r="H25" s="64">
        <v>0.39</v>
      </c>
    </row>
    <row r="26" spans="1:8" hidden="1" x14ac:dyDescent="0.2">
      <c r="A26" s="49" t="s">
        <v>162</v>
      </c>
      <c r="B26" s="49" t="s">
        <v>68</v>
      </c>
      <c r="C26" s="64">
        <v>0.4</v>
      </c>
      <c r="D26" s="64">
        <v>0.15924993295250844</v>
      </c>
      <c r="E26" s="64">
        <v>0.24173839832501465</v>
      </c>
      <c r="F26" s="64">
        <v>0.4</v>
      </c>
      <c r="G26" s="64">
        <v>0.48</v>
      </c>
      <c r="H26" s="64">
        <v>0.48</v>
      </c>
    </row>
    <row r="27" spans="1:8" hidden="1" x14ac:dyDescent="0.2">
      <c r="A27" s="49" t="s">
        <v>98</v>
      </c>
      <c r="B27" s="49" t="s">
        <v>98</v>
      </c>
      <c r="C27" s="64">
        <v>0.4</v>
      </c>
      <c r="D27" s="64">
        <v>0.4</v>
      </c>
      <c r="E27" s="64">
        <v>0.4</v>
      </c>
      <c r="F27" s="64">
        <v>0.4</v>
      </c>
      <c r="G27" s="64">
        <v>0.55000000000000004</v>
      </c>
      <c r="H27" s="64">
        <v>0.55000000000000004</v>
      </c>
    </row>
    <row r="28" spans="1:8" s="39" customFormat="1" hidden="1" x14ac:dyDescent="0.2">
      <c r="A28" s="50" t="s">
        <v>163</v>
      </c>
      <c r="B28" s="50" t="s">
        <v>11</v>
      </c>
      <c r="C28" s="65">
        <v>0.35</v>
      </c>
      <c r="D28" s="65">
        <v>0.37</v>
      </c>
      <c r="E28" s="65">
        <v>0.12970801746378335</v>
      </c>
      <c r="F28" s="65">
        <v>0.35</v>
      </c>
      <c r="G28" s="65">
        <v>0.52</v>
      </c>
      <c r="H28" s="65">
        <v>0.49</v>
      </c>
    </row>
    <row r="29" spans="1:8" hidden="1" x14ac:dyDescent="0.2">
      <c r="A29" s="49" t="s">
        <v>164</v>
      </c>
      <c r="B29" s="49" t="s">
        <v>13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</row>
    <row r="30" spans="1:8" s="39" customFormat="1" hidden="1" x14ac:dyDescent="0.2">
      <c r="A30" s="50" t="s">
        <v>165</v>
      </c>
      <c r="B30" s="50" t="s">
        <v>12</v>
      </c>
      <c r="C30" s="66">
        <v>0.35</v>
      </c>
      <c r="D30" s="66">
        <v>0.1201930999963654</v>
      </c>
      <c r="E30" s="66">
        <v>0.12970801746378335</v>
      </c>
      <c r="F30" s="66">
        <v>0.35</v>
      </c>
      <c r="G30" s="65">
        <v>0.52</v>
      </c>
      <c r="H30" s="65">
        <v>0.49</v>
      </c>
    </row>
    <row r="31" spans="1:8" hidden="1" x14ac:dyDescent="0.2">
      <c r="A31" s="49" t="s">
        <v>166</v>
      </c>
      <c r="B31" s="49" t="s">
        <v>13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</row>
    <row r="32" spans="1:8" hidden="1" x14ac:dyDescent="0.2">
      <c r="A32" s="49" t="s">
        <v>167</v>
      </c>
      <c r="B32" s="49" t="s">
        <v>14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</row>
    <row r="33" spans="1:8" s="39" customFormat="1" hidden="1" x14ac:dyDescent="0.2">
      <c r="A33" s="50" t="s">
        <v>168</v>
      </c>
      <c r="B33" s="50" t="s">
        <v>15</v>
      </c>
      <c r="C33" s="64">
        <v>0</v>
      </c>
      <c r="D33" s="64">
        <v>0</v>
      </c>
      <c r="E33" s="64">
        <v>0</v>
      </c>
      <c r="F33" s="64">
        <v>0</v>
      </c>
      <c r="G33" s="65">
        <v>0</v>
      </c>
      <c r="H33" s="65">
        <v>0</v>
      </c>
    </row>
    <row r="34" spans="1:8" s="39" customFormat="1" hidden="1" x14ac:dyDescent="0.2">
      <c r="A34" s="50" t="s">
        <v>169</v>
      </c>
      <c r="B34" s="50" t="s">
        <v>16</v>
      </c>
      <c r="C34" s="64">
        <v>0</v>
      </c>
      <c r="D34" s="64">
        <v>0</v>
      </c>
      <c r="E34" s="64">
        <v>0</v>
      </c>
      <c r="F34" s="64">
        <v>0</v>
      </c>
      <c r="G34" s="65">
        <v>0</v>
      </c>
      <c r="H34" s="65">
        <v>0</v>
      </c>
    </row>
    <row r="35" spans="1:8" s="39" customFormat="1" hidden="1" x14ac:dyDescent="0.2">
      <c r="A35" s="50" t="s">
        <v>170</v>
      </c>
      <c r="B35" s="50" t="s">
        <v>16</v>
      </c>
      <c r="C35" s="64">
        <v>0</v>
      </c>
      <c r="D35" s="64">
        <v>0</v>
      </c>
      <c r="E35" s="64">
        <v>0</v>
      </c>
      <c r="F35" s="64">
        <v>0</v>
      </c>
      <c r="G35" s="65">
        <v>0</v>
      </c>
      <c r="H35" s="65">
        <v>0</v>
      </c>
    </row>
    <row r="36" spans="1:8" hidden="1" x14ac:dyDescent="0.2">
      <c r="A36" s="49" t="s">
        <v>171</v>
      </c>
      <c r="B36" s="49" t="s">
        <v>53</v>
      </c>
      <c r="C36" s="64">
        <v>0</v>
      </c>
      <c r="D36" s="64">
        <v>0</v>
      </c>
      <c r="E36" s="64">
        <v>0</v>
      </c>
      <c r="F36" s="64">
        <v>0</v>
      </c>
      <c r="G36" s="64">
        <v>0.47</v>
      </c>
      <c r="H36" s="64">
        <v>0.23</v>
      </c>
    </row>
    <row r="37" spans="1:8" s="39" customFormat="1" hidden="1" x14ac:dyDescent="0.2">
      <c r="A37" s="50" t="s">
        <v>172</v>
      </c>
      <c r="B37" s="50" t="s">
        <v>55</v>
      </c>
      <c r="C37" s="64">
        <v>0</v>
      </c>
      <c r="D37" s="64">
        <v>0</v>
      </c>
      <c r="E37" s="64">
        <v>0</v>
      </c>
      <c r="F37" s="64">
        <v>0</v>
      </c>
      <c r="G37" s="65">
        <v>0</v>
      </c>
      <c r="H37" s="65">
        <v>0</v>
      </c>
    </row>
    <row r="38" spans="1:8" s="39" customFormat="1" hidden="1" x14ac:dyDescent="0.2">
      <c r="A38" s="50" t="s">
        <v>173</v>
      </c>
      <c r="B38" s="50" t="s">
        <v>56</v>
      </c>
      <c r="C38" s="64">
        <v>0</v>
      </c>
      <c r="D38" s="64">
        <v>0</v>
      </c>
      <c r="E38" s="64">
        <v>0</v>
      </c>
      <c r="F38" s="64">
        <v>0</v>
      </c>
      <c r="G38" s="65">
        <v>0</v>
      </c>
      <c r="H38" s="65">
        <v>0</v>
      </c>
    </row>
    <row r="39" spans="1:8" s="39" customFormat="1" x14ac:dyDescent="0.2">
      <c r="A39" s="50" t="s">
        <v>174</v>
      </c>
      <c r="B39" s="50" t="s">
        <v>57</v>
      </c>
      <c r="C39" s="64">
        <v>0.45</v>
      </c>
      <c r="D39" s="64">
        <v>0.3</v>
      </c>
      <c r="E39" s="64">
        <v>0.41</v>
      </c>
      <c r="F39" s="64">
        <v>0.32</v>
      </c>
      <c r="G39" s="65">
        <v>0.54999999999999993</v>
      </c>
      <c r="H39" s="65">
        <v>0.54999999999999993</v>
      </c>
    </row>
    <row r="40" spans="1:8" s="39" customFormat="1" x14ac:dyDescent="0.2">
      <c r="A40" s="50" t="s">
        <v>175</v>
      </c>
      <c r="B40" s="50" t="s">
        <v>61</v>
      </c>
      <c r="C40" s="64">
        <v>0.45</v>
      </c>
      <c r="D40" s="64">
        <v>0.3</v>
      </c>
      <c r="E40" s="64">
        <v>0.41</v>
      </c>
      <c r="F40" s="64">
        <v>0.32</v>
      </c>
      <c r="G40" s="65">
        <v>0.54999999999999993</v>
      </c>
      <c r="H40" s="65">
        <v>0.54999999999999993</v>
      </c>
    </row>
    <row r="41" spans="1:8" s="39" customFormat="1" x14ac:dyDescent="0.2">
      <c r="A41" s="50" t="s">
        <v>176</v>
      </c>
      <c r="B41" s="50" t="s">
        <v>59</v>
      </c>
      <c r="C41" s="64">
        <v>0</v>
      </c>
      <c r="D41" s="64">
        <v>0</v>
      </c>
      <c r="E41" s="64">
        <v>0</v>
      </c>
      <c r="F41" s="64">
        <v>0</v>
      </c>
      <c r="G41" s="65">
        <v>0</v>
      </c>
      <c r="H41" s="65">
        <v>0</v>
      </c>
    </row>
    <row r="42" spans="1:8" x14ac:dyDescent="0.2">
      <c r="A42" s="49" t="s">
        <v>177</v>
      </c>
      <c r="B42" s="49" t="s">
        <v>60</v>
      </c>
      <c r="C42" s="64">
        <v>0</v>
      </c>
      <c r="D42" s="64">
        <v>0</v>
      </c>
      <c r="E42" s="64">
        <v>0</v>
      </c>
      <c r="F42" s="64">
        <v>0</v>
      </c>
      <c r="G42" s="64">
        <v>0.49</v>
      </c>
      <c r="H42" s="64">
        <v>0.15</v>
      </c>
    </row>
    <row r="43" spans="1:8" x14ac:dyDescent="0.2">
      <c r="A43" s="49" t="s">
        <v>178</v>
      </c>
      <c r="B43" s="49" t="s">
        <v>60</v>
      </c>
      <c r="C43" s="64">
        <v>0</v>
      </c>
      <c r="D43" s="64">
        <v>0</v>
      </c>
      <c r="E43" s="64">
        <v>0</v>
      </c>
      <c r="F43" s="64">
        <v>0</v>
      </c>
      <c r="G43" s="64">
        <v>0.49</v>
      </c>
      <c r="H43" s="64">
        <v>0.15</v>
      </c>
    </row>
    <row r="44" spans="1:8" x14ac:dyDescent="0.2">
      <c r="A44" s="49" t="s">
        <v>179</v>
      </c>
      <c r="B44" s="49" t="s">
        <v>60</v>
      </c>
      <c r="C44" s="64">
        <v>0</v>
      </c>
      <c r="D44" s="64">
        <v>0</v>
      </c>
      <c r="E44" s="64">
        <v>0</v>
      </c>
      <c r="F44" s="64">
        <v>0</v>
      </c>
      <c r="G44" s="64">
        <v>0.49</v>
      </c>
      <c r="H44" s="64">
        <v>0.15</v>
      </c>
    </row>
    <row r="45" spans="1:8" hidden="1" x14ac:dyDescent="0.2">
      <c r="A45" s="49" t="s">
        <v>99</v>
      </c>
      <c r="B45" s="49" t="s">
        <v>99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</row>
    <row r="46" spans="1:8" hidden="1" x14ac:dyDescent="0.2">
      <c r="A46" s="49" t="s">
        <v>100</v>
      </c>
      <c r="B46" s="49" t="s">
        <v>100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</row>
    <row r="47" spans="1:8" hidden="1" x14ac:dyDescent="0.2">
      <c r="A47" s="49" t="s">
        <v>101</v>
      </c>
      <c r="B47" s="49" t="s">
        <v>101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</row>
    <row r="48" spans="1:8" s="39" customFormat="1" hidden="1" x14ac:dyDescent="0.2">
      <c r="A48" s="50" t="s">
        <v>102</v>
      </c>
      <c r="B48" s="50" t="s">
        <v>102</v>
      </c>
      <c r="C48" s="64">
        <v>0</v>
      </c>
      <c r="D48" s="64">
        <v>0</v>
      </c>
      <c r="E48" s="64">
        <v>0</v>
      </c>
      <c r="F48" s="64">
        <v>0</v>
      </c>
      <c r="G48" s="65">
        <v>0</v>
      </c>
      <c r="H48" s="65">
        <v>0</v>
      </c>
    </row>
    <row r="49" spans="1:8" hidden="1" x14ac:dyDescent="0.2">
      <c r="A49" s="49" t="s">
        <v>180</v>
      </c>
      <c r="B49" s="49" t="s">
        <v>103</v>
      </c>
      <c r="C49" s="64">
        <v>0</v>
      </c>
      <c r="D49" s="64">
        <v>0</v>
      </c>
      <c r="E49" s="64">
        <v>0</v>
      </c>
      <c r="F49" s="64">
        <v>0</v>
      </c>
      <c r="G49" s="64">
        <v>0.42</v>
      </c>
      <c r="H49" s="64">
        <v>7.2999999999999995E-2</v>
      </c>
    </row>
    <row r="50" spans="1:8" hidden="1" x14ac:dyDescent="0.2">
      <c r="A50" s="49" t="s">
        <v>181</v>
      </c>
      <c r="B50" s="49" t="s">
        <v>104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</row>
    <row r="51" spans="1:8" hidden="1" x14ac:dyDescent="0.2">
      <c r="A51" s="49" t="s">
        <v>182</v>
      </c>
      <c r="B51" s="49" t="s">
        <v>104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</row>
    <row r="52" spans="1:8" s="39" customFormat="1" hidden="1" x14ac:dyDescent="0.2">
      <c r="A52" s="50" t="s">
        <v>183</v>
      </c>
      <c r="B52" s="50" t="s">
        <v>69</v>
      </c>
      <c r="C52" s="64">
        <v>0</v>
      </c>
      <c r="D52" s="64">
        <v>0</v>
      </c>
      <c r="E52" s="64">
        <v>0</v>
      </c>
      <c r="F52" s="64">
        <v>0</v>
      </c>
      <c r="G52" s="65">
        <v>0</v>
      </c>
      <c r="H52" s="65">
        <v>0</v>
      </c>
    </row>
    <row r="53" spans="1:8" s="39" customFormat="1" hidden="1" x14ac:dyDescent="0.2">
      <c r="A53" s="50" t="s">
        <v>184</v>
      </c>
      <c r="B53" s="50" t="s">
        <v>70</v>
      </c>
      <c r="C53" s="64">
        <v>0</v>
      </c>
      <c r="D53" s="64">
        <v>0</v>
      </c>
      <c r="E53" s="64">
        <v>0</v>
      </c>
      <c r="F53" s="64">
        <v>0</v>
      </c>
      <c r="G53" s="65">
        <v>0</v>
      </c>
      <c r="H53" s="65">
        <v>0</v>
      </c>
    </row>
    <row r="54" spans="1:8" s="39" customFormat="1" hidden="1" x14ac:dyDescent="0.2">
      <c r="A54" s="50" t="s">
        <v>185</v>
      </c>
      <c r="B54" s="50" t="s">
        <v>186</v>
      </c>
      <c r="C54" s="64">
        <v>0</v>
      </c>
      <c r="D54" s="64">
        <v>0</v>
      </c>
      <c r="E54" s="64">
        <v>0</v>
      </c>
      <c r="F54" s="64">
        <v>0</v>
      </c>
      <c r="G54" s="65">
        <v>0</v>
      </c>
      <c r="H54" s="65">
        <v>0</v>
      </c>
    </row>
    <row r="55" spans="1:8" s="39" customFormat="1" hidden="1" x14ac:dyDescent="0.2">
      <c r="A55" s="50" t="s">
        <v>187</v>
      </c>
      <c r="B55" s="50" t="s">
        <v>186</v>
      </c>
      <c r="C55" s="64">
        <v>0</v>
      </c>
      <c r="D55" s="64">
        <v>0</v>
      </c>
      <c r="E55" s="64">
        <v>0</v>
      </c>
      <c r="F55" s="64">
        <v>0</v>
      </c>
      <c r="G55" s="65">
        <v>0</v>
      </c>
      <c r="H55" s="65">
        <v>0</v>
      </c>
    </row>
    <row r="56" spans="1:8" s="39" customFormat="1" hidden="1" x14ac:dyDescent="0.2">
      <c r="A56" s="50" t="s">
        <v>188</v>
      </c>
      <c r="B56" s="50" t="s">
        <v>74</v>
      </c>
      <c r="C56" s="64">
        <v>0</v>
      </c>
      <c r="D56" s="64">
        <v>0</v>
      </c>
      <c r="E56" s="64">
        <v>0</v>
      </c>
      <c r="F56" s="64">
        <v>0</v>
      </c>
      <c r="G56" s="65">
        <v>0</v>
      </c>
      <c r="H56" s="65">
        <v>0</v>
      </c>
    </row>
    <row r="57" spans="1:8" hidden="1" x14ac:dyDescent="0.2">
      <c r="A57" s="49" t="s">
        <v>189</v>
      </c>
      <c r="B57" s="49" t="s">
        <v>73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</row>
    <row r="58" spans="1:8" hidden="1" x14ac:dyDescent="0.2">
      <c r="A58" s="49" t="s">
        <v>105</v>
      </c>
      <c r="B58" s="49" t="s">
        <v>105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</row>
    <row r="59" spans="1:8" hidden="1" x14ac:dyDescent="0.2">
      <c r="A59" s="49" t="s">
        <v>190</v>
      </c>
      <c r="B59" s="49" t="s">
        <v>17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</row>
    <row r="60" spans="1:8" hidden="1" x14ac:dyDescent="0.2">
      <c r="A60" s="49" t="s">
        <v>191</v>
      </c>
      <c r="B60" s="49" t="s">
        <v>18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</row>
    <row r="61" spans="1:8" hidden="1" x14ac:dyDescent="0.2">
      <c r="A61" s="49" t="s">
        <v>192</v>
      </c>
      <c r="B61" s="49" t="s">
        <v>18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</row>
    <row r="62" spans="1:8" s="39" customFormat="1" hidden="1" x14ac:dyDescent="0.2">
      <c r="A62" s="50" t="s">
        <v>193</v>
      </c>
      <c r="B62" s="50" t="s">
        <v>19</v>
      </c>
      <c r="C62" s="67">
        <v>0.27337923725621727</v>
      </c>
      <c r="D62" s="67">
        <v>0.37</v>
      </c>
      <c r="E62" s="67">
        <v>0.27144446472276418</v>
      </c>
      <c r="F62" s="67">
        <v>0.34589180654957408</v>
      </c>
      <c r="G62" s="65">
        <v>0.55000000000000004</v>
      </c>
      <c r="H62" s="65">
        <v>0.46</v>
      </c>
    </row>
    <row r="63" spans="1:8" hidden="1" x14ac:dyDescent="0.2">
      <c r="A63" s="49" t="s">
        <v>194</v>
      </c>
      <c r="B63" s="49" t="s">
        <v>20</v>
      </c>
      <c r="C63" s="64">
        <v>0.3</v>
      </c>
      <c r="D63" s="64">
        <v>0.37</v>
      </c>
      <c r="E63" s="64">
        <v>0.31</v>
      </c>
      <c r="F63" s="64">
        <v>0.31</v>
      </c>
      <c r="G63" s="64">
        <v>0.55000000000000004</v>
      </c>
      <c r="H63" s="64">
        <v>0.46</v>
      </c>
    </row>
    <row r="64" spans="1:8" hidden="1" x14ac:dyDescent="0.2">
      <c r="A64" s="49" t="s">
        <v>106</v>
      </c>
      <c r="B64" s="49" t="s">
        <v>106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</row>
    <row r="65" spans="1:8" hidden="1" x14ac:dyDescent="0.2">
      <c r="A65" s="49" t="s">
        <v>195</v>
      </c>
      <c r="B65" s="49" t="s">
        <v>75</v>
      </c>
      <c r="C65" s="64">
        <v>0.44999999999999996</v>
      </c>
      <c r="D65" s="64">
        <v>0.44999999999999996</v>
      </c>
      <c r="E65" s="64">
        <v>0.44999999999999996</v>
      </c>
      <c r="F65" s="64">
        <v>0.44999999999999996</v>
      </c>
      <c r="G65" s="64">
        <v>0.54999999999999993</v>
      </c>
      <c r="H65" s="64">
        <v>0.54999999999999993</v>
      </c>
    </row>
    <row r="66" spans="1:8" hidden="1" x14ac:dyDescent="0.2">
      <c r="A66" s="49" t="s">
        <v>196</v>
      </c>
      <c r="B66" s="49" t="s">
        <v>75</v>
      </c>
      <c r="C66" s="64">
        <v>0.44999999999999996</v>
      </c>
      <c r="D66" s="64">
        <v>0.44999999999999996</v>
      </c>
      <c r="E66" s="64">
        <v>0.44999999999999996</v>
      </c>
      <c r="F66" s="64">
        <v>0.44999999999999996</v>
      </c>
      <c r="G66" s="64">
        <v>0.54999999999999993</v>
      </c>
      <c r="H66" s="64">
        <v>0.54999999999999993</v>
      </c>
    </row>
    <row r="67" spans="1:8" hidden="1" x14ac:dyDescent="0.2">
      <c r="A67" s="49" t="s">
        <v>197</v>
      </c>
      <c r="B67" s="49" t="s">
        <v>75</v>
      </c>
      <c r="C67" s="64">
        <v>0.44999999999999996</v>
      </c>
      <c r="D67" s="64">
        <v>0.44999999999999996</v>
      </c>
      <c r="E67" s="64">
        <v>0.44999999999999996</v>
      </c>
      <c r="F67" s="64">
        <v>0.44999999999999996</v>
      </c>
      <c r="G67" s="64">
        <v>0.54999999999999993</v>
      </c>
      <c r="H67" s="64">
        <v>0.54999999999999993</v>
      </c>
    </row>
    <row r="68" spans="1:8" hidden="1" x14ac:dyDescent="0.2">
      <c r="A68" s="49" t="s">
        <v>198</v>
      </c>
      <c r="B68" s="49" t="s">
        <v>76</v>
      </c>
      <c r="C68" s="64">
        <v>0</v>
      </c>
      <c r="D68" s="64">
        <v>0</v>
      </c>
      <c r="E68" s="64">
        <v>0</v>
      </c>
      <c r="F68" s="64">
        <v>0</v>
      </c>
      <c r="G68" s="64">
        <v>0.5</v>
      </c>
      <c r="H68" s="64">
        <v>0.43</v>
      </c>
    </row>
    <row r="69" spans="1:8" hidden="1" x14ac:dyDescent="0.2">
      <c r="A69" s="49" t="s">
        <v>199</v>
      </c>
      <c r="B69" s="49" t="s">
        <v>78</v>
      </c>
      <c r="C69" s="64">
        <v>0.4</v>
      </c>
      <c r="D69" s="64">
        <v>0.4</v>
      </c>
      <c r="E69" s="64">
        <v>0.4</v>
      </c>
      <c r="F69" s="64">
        <v>0.4</v>
      </c>
      <c r="G69" s="64">
        <v>0.55000000000000004</v>
      </c>
      <c r="H69" s="64">
        <v>0.55000000000000004</v>
      </c>
    </row>
    <row r="70" spans="1:8" hidden="1" x14ac:dyDescent="0.2">
      <c r="A70" s="49" t="s">
        <v>200</v>
      </c>
      <c r="B70" s="49" t="s">
        <v>79</v>
      </c>
      <c r="C70" s="64">
        <v>0.3</v>
      </c>
      <c r="D70" s="64">
        <v>0.3</v>
      </c>
      <c r="E70" s="64">
        <v>0.3</v>
      </c>
      <c r="F70" s="64">
        <v>0.3</v>
      </c>
      <c r="G70" s="64">
        <v>0.5</v>
      </c>
      <c r="H70" s="64">
        <v>0.5</v>
      </c>
    </row>
    <row r="71" spans="1:8" hidden="1" x14ac:dyDescent="0.2">
      <c r="A71" s="49" t="s">
        <v>201</v>
      </c>
      <c r="B71" s="49" t="s">
        <v>107</v>
      </c>
      <c r="C71" s="64">
        <v>0.16473602483620009</v>
      </c>
      <c r="D71" s="64">
        <v>0</v>
      </c>
      <c r="E71" s="64">
        <v>1.9300909114781883E-2</v>
      </c>
      <c r="F71" s="64">
        <v>0.12455160814176502</v>
      </c>
      <c r="G71" s="64">
        <v>0.47</v>
      </c>
      <c r="H71" s="64">
        <v>0.3</v>
      </c>
    </row>
    <row r="72" spans="1:8" hidden="1" x14ac:dyDescent="0.2">
      <c r="A72" s="49" t="s">
        <v>202</v>
      </c>
      <c r="B72" s="49" t="s">
        <v>108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</row>
    <row r="73" spans="1:8" hidden="1" x14ac:dyDescent="0.2">
      <c r="A73" s="49" t="s">
        <v>203</v>
      </c>
      <c r="B73" s="49" t="s">
        <v>108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</row>
    <row r="74" spans="1:8" hidden="1" x14ac:dyDescent="0.2">
      <c r="A74" s="49" t="s">
        <v>204</v>
      </c>
      <c r="B74" s="49" t="s">
        <v>108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</row>
    <row r="75" spans="1:8" hidden="1" x14ac:dyDescent="0.2">
      <c r="A75" s="49" t="s">
        <v>205</v>
      </c>
      <c r="B75" s="49" t="s">
        <v>108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</row>
  </sheetData>
  <autoFilter ref="A3:H75" xr:uid="{6059B3A7-EA46-470A-87A0-14F8C92B8E05}">
    <filterColumn colId="0">
      <filters>
        <filter val="GOA"/>
        <filter val="MAHARASHTRA - 1 M"/>
        <filter val="MAHARASHTRA - 2 P"/>
        <filter val="MAHARASHTRA - 3 N"/>
        <filter val="MAHARASHTRA - 4 K"/>
        <filter val="MAHARASHTRA - 5 R"/>
        <filter val="MAHARASHTRA - 6 R"/>
      </filters>
    </filterColumn>
  </autoFilter>
  <mergeCells count="2">
    <mergeCell ref="C2:F2"/>
    <mergeCell ref="G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1D21-50EE-4185-8929-F4D93D9BF2D7}">
  <dimension ref="A1:D126"/>
  <sheetViews>
    <sheetView workbookViewId="0">
      <selection activeCell="C2" sqref="C2"/>
    </sheetView>
  </sheetViews>
  <sheetFormatPr defaultColWidth="9.140625" defaultRowHeight="11.25" x14ac:dyDescent="0.2"/>
  <cols>
    <col min="1" max="1" width="52.5703125" style="9" bestFit="1" customWidth="1"/>
    <col min="2" max="2" width="6.7109375" style="9" bestFit="1" customWidth="1"/>
    <col min="3" max="3" width="7.7109375" style="9" bestFit="1" customWidth="1"/>
    <col min="4" max="4" width="3.85546875" style="9" bestFit="1" customWidth="1"/>
    <col min="5" max="16384" width="9.140625" style="9"/>
  </cols>
  <sheetData>
    <row r="1" spans="1:4" x14ac:dyDescent="0.2">
      <c r="A1" s="105" t="s">
        <v>139</v>
      </c>
      <c r="B1" s="105"/>
      <c r="C1" s="105"/>
      <c r="D1" s="105"/>
    </row>
    <row r="2" spans="1:4" ht="33.75" x14ac:dyDescent="0.2">
      <c r="A2" s="1" t="s">
        <v>0</v>
      </c>
      <c r="B2" s="1" t="s">
        <v>26</v>
      </c>
      <c r="C2" s="1" t="s">
        <v>27</v>
      </c>
      <c r="D2" s="1" t="s">
        <v>28</v>
      </c>
    </row>
    <row r="3" spans="1:4" x14ac:dyDescent="0.2">
      <c r="A3" s="36" t="s">
        <v>7</v>
      </c>
      <c r="B3" s="14" t="s">
        <v>29</v>
      </c>
      <c r="C3" s="37">
        <v>0.23499999999999999</v>
      </c>
      <c r="D3" s="37">
        <v>2.5000000000000001E-2</v>
      </c>
    </row>
    <row r="4" spans="1:4" x14ac:dyDescent="0.2">
      <c r="A4" s="36" t="s">
        <v>9</v>
      </c>
      <c r="B4" s="14" t="s">
        <v>29</v>
      </c>
      <c r="C4" s="37">
        <v>0.25</v>
      </c>
      <c r="D4" s="37">
        <v>2.5000000000000001E-2</v>
      </c>
    </row>
    <row r="5" spans="1:4" x14ac:dyDescent="0.2">
      <c r="A5" s="36" t="s">
        <v>10</v>
      </c>
      <c r="B5" s="14" t="s">
        <v>29</v>
      </c>
      <c r="C5" s="37">
        <v>0.25</v>
      </c>
      <c r="D5" s="37">
        <v>2.5000000000000001E-2</v>
      </c>
    </row>
    <row r="6" spans="1:4" x14ac:dyDescent="0.2">
      <c r="A6" s="36" t="s">
        <v>93</v>
      </c>
      <c r="B6" s="14" t="s">
        <v>29</v>
      </c>
      <c r="C6" s="37">
        <v>0</v>
      </c>
      <c r="D6" s="37">
        <v>0</v>
      </c>
    </row>
    <row r="7" spans="1:4" x14ac:dyDescent="0.2">
      <c r="A7" s="36" t="s">
        <v>94</v>
      </c>
      <c r="B7" s="14" t="s">
        <v>29</v>
      </c>
      <c r="C7" s="37">
        <v>0</v>
      </c>
      <c r="D7" s="37">
        <v>2.5000000000000001E-2</v>
      </c>
    </row>
    <row r="8" spans="1:4" x14ac:dyDescent="0.2">
      <c r="A8" s="36" t="s">
        <v>95</v>
      </c>
      <c r="B8" s="14" t="s">
        <v>29</v>
      </c>
      <c r="C8" s="37">
        <v>0</v>
      </c>
      <c r="D8" s="37">
        <v>2.5000000000000001E-2</v>
      </c>
    </row>
    <row r="9" spans="1:4" x14ac:dyDescent="0.2">
      <c r="A9" s="36" t="s">
        <v>96</v>
      </c>
      <c r="B9" s="14" t="s">
        <v>29</v>
      </c>
      <c r="C9" s="37">
        <v>0</v>
      </c>
      <c r="D9" s="37">
        <v>2.5000000000000001E-2</v>
      </c>
    </row>
    <row r="10" spans="1:4" x14ac:dyDescent="0.2">
      <c r="A10" s="36" t="s">
        <v>97</v>
      </c>
      <c r="B10" s="14" t="s">
        <v>29</v>
      </c>
      <c r="C10" s="37">
        <v>0.3</v>
      </c>
      <c r="D10" s="37">
        <v>2.5000000000000001E-2</v>
      </c>
    </row>
    <row r="11" spans="1:4" x14ac:dyDescent="0.2">
      <c r="A11" s="36" t="s">
        <v>62</v>
      </c>
      <c r="B11" s="14" t="s">
        <v>29</v>
      </c>
      <c r="C11" s="37">
        <v>0.35</v>
      </c>
      <c r="D11" s="37">
        <v>2.5000000000000001E-2</v>
      </c>
    </row>
    <row r="12" spans="1:4" x14ac:dyDescent="0.2">
      <c r="A12" s="36" t="s">
        <v>109</v>
      </c>
      <c r="B12" s="14" t="s">
        <v>29</v>
      </c>
      <c r="C12" s="37">
        <v>0</v>
      </c>
      <c r="D12" s="37">
        <v>2.5000000000000001E-2</v>
      </c>
    </row>
    <row r="13" spans="1:4" x14ac:dyDescent="0.2">
      <c r="A13" s="36" t="s">
        <v>110</v>
      </c>
      <c r="B13" s="14" t="s">
        <v>29</v>
      </c>
      <c r="C13" s="37">
        <v>0</v>
      </c>
      <c r="D13" s="37">
        <v>2.5000000000000001E-2</v>
      </c>
    </row>
    <row r="14" spans="1:4" x14ac:dyDescent="0.2">
      <c r="A14" s="36" t="s">
        <v>63</v>
      </c>
      <c r="B14" s="14" t="s">
        <v>29</v>
      </c>
      <c r="C14" s="37">
        <v>0</v>
      </c>
      <c r="D14" s="37">
        <v>0</v>
      </c>
    </row>
    <row r="15" spans="1:4" x14ac:dyDescent="0.2">
      <c r="A15" s="36" t="s">
        <v>52</v>
      </c>
      <c r="B15" s="14" t="s">
        <v>29</v>
      </c>
      <c r="C15" s="37">
        <v>0</v>
      </c>
      <c r="D15" s="37">
        <v>0</v>
      </c>
    </row>
    <row r="16" spans="1:4" x14ac:dyDescent="0.2">
      <c r="A16" s="36" t="s">
        <v>113</v>
      </c>
      <c r="B16" s="14" t="s">
        <v>29</v>
      </c>
      <c r="C16" s="37">
        <v>0</v>
      </c>
      <c r="D16" s="37">
        <v>0</v>
      </c>
    </row>
    <row r="17" spans="1:4" x14ac:dyDescent="0.2">
      <c r="A17" s="36" t="s">
        <v>114</v>
      </c>
      <c r="B17" s="14" t="s">
        <v>29</v>
      </c>
      <c r="C17" s="37">
        <v>0</v>
      </c>
      <c r="D17" s="37">
        <v>0</v>
      </c>
    </row>
    <row r="18" spans="1:4" x14ac:dyDescent="0.2">
      <c r="A18" s="36" t="s">
        <v>115</v>
      </c>
      <c r="B18" s="14" t="s">
        <v>29</v>
      </c>
      <c r="C18" s="37">
        <v>0</v>
      </c>
      <c r="D18" s="37">
        <v>0</v>
      </c>
    </row>
    <row r="19" spans="1:4" x14ac:dyDescent="0.2">
      <c r="A19" s="36" t="s">
        <v>116</v>
      </c>
      <c r="B19" s="14" t="s">
        <v>29</v>
      </c>
      <c r="C19" s="37">
        <v>0</v>
      </c>
      <c r="D19" s="37">
        <v>0</v>
      </c>
    </row>
    <row r="20" spans="1:4" x14ac:dyDescent="0.2">
      <c r="A20" s="36" t="s">
        <v>64</v>
      </c>
      <c r="B20" s="14" t="s">
        <v>29</v>
      </c>
      <c r="C20" s="37">
        <v>0</v>
      </c>
      <c r="D20" s="37">
        <v>0</v>
      </c>
    </row>
    <row r="21" spans="1:4" x14ac:dyDescent="0.2">
      <c r="A21" s="36" t="s">
        <v>65</v>
      </c>
      <c r="B21" s="14" t="s">
        <v>29</v>
      </c>
      <c r="C21" s="37">
        <v>0.255</v>
      </c>
      <c r="D21" s="37">
        <v>2.5000000000000001E-2</v>
      </c>
    </row>
    <row r="22" spans="1:4" x14ac:dyDescent="0.2">
      <c r="A22" s="36" t="s">
        <v>66</v>
      </c>
      <c r="B22" s="14" t="s">
        <v>29</v>
      </c>
      <c r="C22" s="37">
        <v>0.23499999999999999</v>
      </c>
      <c r="D22" s="37">
        <v>2.5000000000000001E-2</v>
      </c>
    </row>
    <row r="23" spans="1:4" x14ac:dyDescent="0.2">
      <c r="A23" s="36" t="s">
        <v>67</v>
      </c>
      <c r="B23" s="14" t="s">
        <v>29</v>
      </c>
      <c r="C23" s="37">
        <v>0</v>
      </c>
      <c r="D23" s="37">
        <v>0</v>
      </c>
    </row>
    <row r="24" spans="1:4" x14ac:dyDescent="0.2">
      <c r="A24" s="36" t="s">
        <v>68</v>
      </c>
      <c r="B24" s="14" t="s">
        <v>29</v>
      </c>
      <c r="C24" s="37">
        <v>0.3</v>
      </c>
      <c r="D24" s="37">
        <v>2.5000000000000001E-2</v>
      </c>
    </row>
    <row r="25" spans="1:4" x14ac:dyDescent="0.2">
      <c r="A25" s="36" t="s">
        <v>98</v>
      </c>
      <c r="B25" s="14" t="s">
        <v>29</v>
      </c>
      <c r="C25" s="37">
        <v>0.3</v>
      </c>
      <c r="D25" s="37">
        <v>2.5000000000000001E-2</v>
      </c>
    </row>
    <row r="26" spans="1:4" x14ac:dyDescent="0.2">
      <c r="A26" s="36" t="s">
        <v>11</v>
      </c>
      <c r="B26" s="14" t="s">
        <v>29</v>
      </c>
      <c r="C26" s="37">
        <v>0.3</v>
      </c>
      <c r="D26" s="37">
        <v>2.5000000000000001E-2</v>
      </c>
    </row>
    <row r="27" spans="1:4" x14ac:dyDescent="0.2">
      <c r="A27" s="36" t="s">
        <v>12</v>
      </c>
      <c r="B27" s="14" t="s">
        <v>29</v>
      </c>
      <c r="C27" s="37">
        <v>0</v>
      </c>
      <c r="D27" s="37">
        <v>0</v>
      </c>
    </row>
    <row r="28" spans="1:4" x14ac:dyDescent="0.2">
      <c r="A28" s="36" t="s">
        <v>13</v>
      </c>
      <c r="B28" s="14" t="s">
        <v>29</v>
      </c>
      <c r="C28" s="37">
        <v>0</v>
      </c>
      <c r="D28" s="37">
        <v>0</v>
      </c>
    </row>
    <row r="29" spans="1:4" x14ac:dyDescent="0.2">
      <c r="A29" s="36" t="s">
        <v>14</v>
      </c>
      <c r="B29" s="14" t="s">
        <v>29</v>
      </c>
      <c r="C29" s="37">
        <v>0</v>
      </c>
      <c r="D29" s="37">
        <v>0</v>
      </c>
    </row>
    <row r="30" spans="1:4" x14ac:dyDescent="0.2">
      <c r="A30" s="36" t="s">
        <v>15</v>
      </c>
      <c r="B30" s="14" t="s">
        <v>29</v>
      </c>
      <c r="C30" s="37">
        <v>0</v>
      </c>
      <c r="D30" s="37">
        <v>0</v>
      </c>
    </row>
    <row r="31" spans="1:4" x14ac:dyDescent="0.2">
      <c r="A31" s="36" t="s">
        <v>16</v>
      </c>
      <c r="B31" s="14" t="s">
        <v>29</v>
      </c>
      <c r="C31" s="37">
        <v>0</v>
      </c>
      <c r="D31" s="37">
        <v>0</v>
      </c>
    </row>
    <row r="32" spans="1:4" x14ac:dyDescent="0.2">
      <c r="A32" s="36" t="s">
        <v>53</v>
      </c>
      <c r="B32" s="14" t="s">
        <v>29</v>
      </c>
      <c r="C32" s="37">
        <v>0</v>
      </c>
      <c r="D32" s="37">
        <v>0</v>
      </c>
    </row>
    <row r="33" spans="1:4" x14ac:dyDescent="0.2">
      <c r="A33" s="36" t="s">
        <v>55</v>
      </c>
      <c r="B33" s="14" t="s">
        <v>29</v>
      </c>
      <c r="C33" s="37">
        <v>0</v>
      </c>
      <c r="D33" s="37">
        <v>0</v>
      </c>
    </row>
    <row r="34" spans="1:4" x14ac:dyDescent="0.2">
      <c r="A34" s="36" t="s">
        <v>56</v>
      </c>
      <c r="B34" s="14" t="s">
        <v>29</v>
      </c>
      <c r="C34" s="37">
        <v>0</v>
      </c>
      <c r="D34" s="37">
        <v>0</v>
      </c>
    </row>
    <row r="35" spans="1:4" x14ac:dyDescent="0.2">
      <c r="A35" s="36" t="s">
        <v>57</v>
      </c>
      <c r="B35" s="14" t="s">
        <v>29</v>
      </c>
      <c r="C35" s="37">
        <v>0</v>
      </c>
      <c r="D35" s="37">
        <v>0</v>
      </c>
    </row>
    <row r="36" spans="1:4" x14ac:dyDescent="0.2">
      <c r="A36" s="36" t="s">
        <v>59</v>
      </c>
      <c r="B36" s="14" t="s">
        <v>29</v>
      </c>
      <c r="C36" s="37">
        <v>0</v>
      </c>
      <c r="D36" s="37">
        <v>0</v>
      </c>
    </row>
    <row r="37" spans="1:4" x14ac:dyDescent="0.2">
      <c r="A37" s="36" t="s">
        <v>61</v>
      </c>
      <c r="B37" s="14" t="s">
        <v>29</v>
      </c>
      <c r="C37" s="37">
        <v>0</v>
      </c>
      <c r="D37" s="37">
        <v>0</v>
      </c>
    </row>
    <row r="38" spans="1:4" x14ac:dyDescent="0.2">
      <c r="A38" s="36" t="s">
        <v>60</v>
      </c>
      <c r="B38" s="14" t="s">
        <v>29</v>
      </c>
      <c r="C38" s="37">
        <v>0</v>
      </c>
      <c r="D38" s="37">
        <v>0</v>
      </c>
    </row>
    <row r="39" spans="1:4" x14ac:dyDescent="0.2">
      <c r="A39" s="36" t="s">
        <v>99</v>
      </c>
      <c r="B39" s="14" t="s">
        <v>29</v>
      </c>
      <c r="C39" s="37">
        <v>0</v>
      </c>
      <c r="D39" s="37">
        <v>0</v>
      </c>
    </row>
    <row r="40" spans="1:4" x14ac:dyDescent="0.2">
      <c r="A40" s="36" t="s">
        <v>100</v>
      </c>
      <c r="B40" s="14" t="s">
        <v>29</v>
      </c>
      <c r="C40" s="37">
        <v>0</v>
      </c>
      <c r="D40" s="37">
        <v>2.5000000000000001E-2</v>
      </c>
    </row>
    <row r="41" spans="1:4" x14ac:dyDescent="0.2">
      <c r="A41" s="36" t="s">
        <v>101</v>
      </c>
      <c r="B41" s="14" t="s">
        <v>29</v>
      </c>
      <c r="C41" s="37">
        <v>0</v>
      </c>
      <c r="D41" s="37">
        <v>0</v>
      </c>
    </row>
    <row r="42" spans="1:4" x14ac:dyDescent="0.2">
      <c r="A42" s="36" t="s">
        <v>102</v>
      </c>
      <c r="B42" s="14" t="s">
        <v>29</v>
      </c>
      <c r="C42" s="37">
        <v>0</v>
      </c>
      <c r="D42" s="37">
        <v>0</v>
      </c>
    </row>
    <row r="43" spans="1:4" x14ac:dyDescent="0.2">
      <c r="A43" s="36" t="s">
        <v>103</v>
      </c>
      <c r="B43" s="14" t="s">
        <v>29</v>
      </c>
      <c r="C43" s="37">
        <v>0</v>
      </c>
      <c r="D43" s="37">
        <v>2.5000000000000001E-2</v>
      </c>
    </row>
    <row r="44" spans="1:4" x14ac:dyDescent="0.2">
      <c r="A44" s="36" t="s">
        <v>104</v>
      </c>
      <c r="B44" s="14" t="s">
        <v>29</v>
      </c>
      <c r="C44" s="37">
        <v>0</v>
      </c>
      <c r="D44" s="37">
        <v>2.5000000000000001E-2</v>
      </c>
    </row>
    <row r="45" spans="1:4" x14ac:dyDescent="0.2">
      <c r="A45" s="36" t="s">
        <v>69</v>
      </c>
      <c r="B45" s="14" t="s">
        <v>29</v>
      </c>
      <c r="C45" s="37">
        <v>0.4</v>
      </c>
      <c r="D45" s="37">
        <v>2.5000000000000001E-2</v>
      </c>
    </row>
    <row r="46" spans="1:4" x14ac:dyDescent="0.2">
      <c r="A46" s="36" t="s">
        <v>70</v>
      </c>
      <c r="B46" s="14" t="s">
        <v>29</v>
      </c>
      <c r="C46" s="37">
        <v>0.4</v>
      </c>
      <c r="D46" s="37">
        <v>2.5000000000000001E-2</v>
      </c>
    </row>
    <row r="47" spans="1:4" x14ac:dyDescent="0.2">
      <c r="A47" s="36" t="s">
        <v>71</v>
      </c>
      <c r="B47" s="14" t="s">
        <v>29</v>
      </c>
      <c r="C47" s="37">
        <v>0</v>
      </c>
      <c r="D47" s="37">
        <v>0</v>
      </c>
    </row>
    <row r="48" spans="1:4" x14ac:dyDescent="0.2">
      <c r="A48" s="36" t="s">
        <v>72</v>
      </c>
      <c r="B48" s="14" t="s">
        <v>29</v>
      </c>
      <c r="C48" s="37">
        <v>0</v>
      </c>
      <c r="D48" s="37">
        <v>0</v>
      </c>
    </row>
    <row r="49" spans="1:4" x14ac:dyDescent="0.2">
      <c r="A49" s="36" t="s">
        <v>73</v>
      </c>
      <c r="B49" s="14" t="s">
        <v>29</v>
      </c>
      <c r="C49" s="37">
        <v>0</v>
      </c>
      <c r="D49" s="37">
        <v>0</v>
      </c>
    </row>
    <row r="50" spans="1:4" x14ac:dyDescent="0.2">
      <c r="A50" s="36" t="s">
        <v>74</v>
      </c>
      <c r="B50" s="14" t="s">
        <v>29</v>
      </c>
      <c r="C50" s="37">
        <v>0</v>
      </c>
      <c r="D50" s="37">
        <v>0</v>
      </c>
    </row>
    <row r="51" spans="1:4" x14ac:dyDescent="0.2">
      <c r="A51" s="36" t="s">
        <v>131</v>
      </c>
      <c r="B51" s="14" t="s">
        <v>29</v>
      </c>
      <c r="C51" s="37">
        <v>0</v>
      </c>
      <c r="D51" s="37">
        <v>0</v>
      </c>
    </row>
    <row r="52" spans="1:4" x14ac:dyDescent="0.2">
      <c r="A52" s="36" t="s">
        <v>105</v>
      </c>
      <c r="B52" s="14" t="s">
        <v>29</v>
      </c>
      <c r="C52" s="37">
        <v>0</v>
      </c>
      <c r="D52" s="37">
        <v>0</v>
      </c>
    </row>
    <row r="53" spans="1:4" x14ac:dyDescent="0.2">
      <c r="A53" s="36" t="s">
        <v>17</v>
      </c>
      <c r="B53" s="14" t="s">
        <v>29</v>
      </c>
      <c r="C53" s="37">
        <v>0</v>
      </c>
      <c r="D53" s="37">
        <v>0</v>
      </c>
    </row>
    <row r="54" spans="1:4" x14ac:dyDescent="0.2">
      <c r="A54" s="36" t="s">
        <v>18</v>
      </c>
      <c r="B54" s="14" t="s">
        <v>29</v>
      </c>
      <c r="C54" s="37">
        <v>0</v>
      </c>
      <c r="D54" s="37">
        <v>0</v>
      </c>
    </row>
    <row r="55" spans="1:4" x14ac:dyDescent="0.2">
      <c r="A55" s="36" t="s">
        <v>19</v>
      </c>
      <c r="B55" s="14" t="s">
        <v>29</v>
      </c>
      <c r="C55" s="37">
        <v>0.23499999999999999</v>
      </c>
      <c r="D55" s="37">
        <v>2.5000000000000001E-2</v>
      </c>
    </row>
    <row r="56" spans="1:4" x14ac:dyDescent="0.2">
      <c r="A56" s="36" t="s">
        <v>20</v>
      </c>
      <c r="B56" s="14" t="s">
        <v>29</v>
      </c>
      <c r="C56" s="37">
        <v>0.255</v>
      </c>
      <c r="D56" s="37">
        <v>2.5000000000000001E-2</v>
      </c>
    </row>
    <row r="57" spans="1:4" x14ac:dyDescent="0.2">
      <c r="A57" s="36" t="s">
        <v>106</v>
      </c>
      <c r="B57" s="14" t="s">
        <v>29</v>
      </c>
      <c r="C57" s="37">
        <v>0</v>
      </c>
      <c r="D57" s="37">
        <v>2.5000000000000001E-2</v>
      </c>
    </row>
    <row r="58" spans="1:4" x14ac:dyDescent="0.2">
      <c r="A58" s="36" t="s">
        <v>75</v>
      </c>
      <c r="B58" s="14" t="s">
        <v>29</v>
      </c>
      <c r="C58" s="37">
        <v>0.38</v>
      </c>
      <c r="D58" s="37">
        <v>2.5000000000000001E-2</v>
      </c>
    </row>
    <row r="59" spans="1:4" x14ac:dyDescent="0.2">
      <c r="A59" s="36" t="s">
        <v>76</v>
      </c>
      <c r="B59" s="14" t="s">
        <v>29</v>
      </c>
      <c r="C59" s="37">
        <v>0</v>
      </c>
      <c r="D59" s="37">
        <v>0</v>
      </c>
    </row>
    <row r="60" spans="1:4" x14ac:dyDescent="0.2">
      <c r="A60" s="36" t="s">
        <v>77</v>
      </c>
      <c r="B60" s="14" t="s">
        <v>29</v>
      </c>
      <c r="C60" s="37">
        <v>0</v>
      </c>
      <c r="D60" s="37">
        <v>0</v>
      </c>
    </row>
    <row r="61" spans="1:4" x14ac:dyDescent="0.2">
      <c r="A61" s="36" t="s">
        <v>78</v>
      </c>
      <c r="B61" s="14" t="s">
        <v>29</v>
      </c>
      <c r="C61" s="37">
        <v>0.28499999999999998</v>
      </c>
      <c r="D61" s="37">
        <v>2.5000000000000001E-2</v>
      </c>
    </row>
    <row r="62" spans="1:4" x14ac:dyDescent="0.2">
      <c r="A62" s="36" t="s">
        <v>79</v>
      </c>
      <c r="B62" s="14" t="s">
        <v>29</v>
      </c>
      <c r="C62" s="37">
        <v>0.23499999999999999</v>
      </c>
      <c r="D62" s="37">
        <v>2.5000000000000001E-2</v>
      </c>
    </row>
    <row r="63" spans="1:4" x14ac:dyDescent="0.2">
      <c r="A63" s="36" t="s">
        <v>107</v>
      </c>
      <c r="B63" s="14" t="s">
        <v>29</v>
      </c>
      <c r="C63" s="37">
        <v>0</v>
      </c>
      <c r="D63" s="37">
        <v>2.5000000000000001E-2</v>
      </c>
    </row>
    <row r="64" spans="1:4" x14ac:dyDescent="0.2">
      <c r="A64" s="36" t="s">
        <v>108</v>
      </c>
      <c r="B64" s="14" t="s">
        <v>29</v>
      </c>
      <c r="C64" s="37">
        <v>0</v>
      </c>
      <c r="D64" s="37">
        <v>2.5000000000000001E-2</v>
      </c>
    </row>
    <row r="65" spans="1:4" x14ac:dyDescent="0.2">
      <c r="A65" s="36" t="s">
        <v>7</v>
      </c>
      <c r="B65" s="16" t="s">
        <v>30</v>
      </c>
      <c r="C65" s="37">
        <v>0.44</v>
      </c>
      <c r="D65" s="37">
        <v>2.5000000000000001E-2</v>
      </c>
    </row>
    <row r="66" spans="1:4" x14ac:dyDescent="0.2">
      <c r="A66" s="36" t="s">
        <v>9</v>
      </c>
      <c r="B66" s="16" t="s">
        <v>30</v>
      </c>
      <c r="C66" s="37">
        <v>0.44</v>
      </c>
      <c r="D66" s="37">
        <v>2.5000000000000001E-2</v>
      </c>
    </row>
    <row r="67" spans="1:4" x14ac:dyDescent="0.2">
      <c r="A67" s="36" t="s">
        <v>10</v>
      </c>
      <c r="B67" s="16" t="s">
        <v>30</v>
      </c>
      <c r="C67" s="37">
        <v>0.44</v>
      </c>
      <c r="D67" s="37">
        <v>2.5000000000000001E-2</v>
      </c>
    </row>
    <row r="68" spans="1:4" x14ac:dyDescent="0.2">
      <c r="A68" s="36" t="s">
        <v>93</v>
      </c>
      <c r="B68" s="16" t="s">
        <v>30</v>
      </c>
      <c r="C68" s="37">
        <v>0</v>
      </c>
      <c r="D68" s="37">
        <v>0</v>
      </c>
    </row>
    <row r="69" spans="1:4" x14ac:dyDescent="0.2">
      <c r="A69" s="36" t="s">
        <v>94</v>
      </c>
      <c r="B69" s="16" t="s">
        <v>30</v>
      </c>
      <c r="C69" s="37">
        <v>0</v>
      </c>
      <c r="D69" s="37">
        <v>2.5000000000000001E-2</v>
      </c>
    </row>
    <row r="70" spans="1:4" x14ac:dyDescent="0.2">
      <c r="A70" s="36" t="s">
        <v>95</v>
      </c>
      <c r="B70" s="16" t="s">
        <v>30</v>
      </c>
      <c r="C70" s="37">
        <v>0</v>
      </c>
      <c r="D70" s="37">
        <v>2.5000000000000001E-2</v>
      </c>
    </row>
    <row r="71" spans="1:4" x14ac:dyDescent="0.2">
      <c r="A71" s="36" t="s">
        <v>96</v>
      </c>
      <c r="B71" s="16" t="s">
        <v>30</v>
      </c>
      <c r="C71" s="37">
        <v>0</v>
      </c>
      <c r="D71" s="37">
        <v>2.5000000000000001E-2</v>
      </c>
    </row>
    <row r="72" spans="1:4" x14ac:dyDescent="0.2">
      <c r="A72" s="36" t="s">
        <v>97</v>
      </c>
      <c r="B72" s="16" t="s">
        <v>30</v>
      </c>
      <c r="C72" s="37">
        <v>0.42</v>
      </c>
      <c r="D72" s="37">
        <v>2.5000000000000001E-2</v>
      </c>
    </row>
    <row r="73" spans="1:4" x14ac:dyDescent="0.2">
      <c r="A73" s="36" t="s">
        <v>62</v>
      </c>
      <c r="B73" s="16" t="s">
        <v>30</v>
      </c>
      <c r="C73" s="37">
        <v>0.53</v>
      </c>
      <c r="D73" s="37">
        <v>2.5000000000000001E-2</v>
      </c>
    </row>
    <row r="74" spans="1:4" x14ac:dyDescent="0.2">
      <c r="A74" s="36" t="s">
        <v>109</v>
      </c>
      <c r="B74" s="16" t="s">
        <v>30</v>
      </c>
      <c r="C74" s="37">
        <v>0</v>
      </c>
      <c r="D74" s="37">
        <v>2.5000000000000001E-2</v>
      </c>
    </row>
    <row r="75" spans="1:4" x14ac:dyDescent="0.2">
      <c r="A75" s="36" t="s">
        <v>110</v>
      </c>
      <c r="B75" s="16" t="s">
        <v>30</v>
      </c>
      <c r="C75" s="37">
        <v>0</v>
      </c>
      <c r="D75" s="37">
        <v>2.5000000000000001E-2</v>
      </c>
    </row>
    <row r="76" spans="1:4" x14ac:dyDescent="0.2">
      <c r="A76" s="36" t="s">
        <v>63</v>
      </c>
      <c r="B76" s="16" t="s">
        <v>30</v>
      </c>
      <c r="C76" s="37">
        <v>0</v>
      </c>
      <c r="D76" s="37">
        <v>0</v>
      </c>
    </row>
    <row r="77" spans="1:4" x14ac:dyDescent="0.2">
      <c r="A77" s="36" t="s">
        <v>52</v>
      </c>
      <c r="B77" s="16" t="s">
        <v>30</v>
      </c>
      <c r="C77" s="37">
        <v>0</v>
      </c>
      <c r="D77" s="37">
        <v>0</v>
      </c>
    </row>
    <row r="78" spans="1:4" x14ac:dyDescent="0.2">
      <c r="A78" s="36" t="s">
        <v>113</v>
      </c>
      <c r="B78" s="16" t="s">
        <v>30</v>
      </c>
      <c r="C78" s="37">
        <v>0</v>
      </c>
      <c r="D78" s="37">
        <v>0</v>
      </c>
    </row>
    <row r="79" spans="1:4" x14ac:dyDescent="0.2">
      <c r="A79" s="36" t="s">
        <v>114</v>
      </c>
      <c r="B79" s="16" t="s">
        <v>30</v>
      </c>
      <c r="C79" s="37">
        <v>0</v>
      </c>
      <c r="D79" s="37">
        <v>0</v>
      </c>
    </row>
    <row r="80" spans="1:4" x14ac:dyDescent="0.2">
      <c r="A80" s="36" t="s">
        <v>115</v>
      </c>
      <c r="B80" s="16" t="s">
        <v>30</v>
      </c>
      <c r="C80" s="37">
        <v>0</v>
      </c>
      <c r="D80" s="37">
        <v>0</v>
      </c>
    </row>
    <row r="81" spans="1:4" x14ac:dyDescent="0.2">
      <c r="A81" s="36" t="s">
        <v>116</v>
      </c>
      <c r="B81" s="16" t="s">
        <v>30</v>
      </c>
      <c r="C81" s="37">
        <v>0</v>
      </c>
      <c r="D81" s="37">
        <v>0</v>
      </c>
    </row>
    <row r="82" spans="1:4" x14ac:dyDescent="0.2">
      <c r="A82" s="36" t="s">
        <v>64</v>
      </c>
      <c r="B82" s="16" t="s">
        <v>30</v>
      </c>
      <c r="C82" s="37">
        <v>0</v>
      </c>
      <c r="D82" s="37">
        <v>0</v>
      </c>
    </row>
    <row r="83" spans="1:4" x14ac:dyDescent="0.2">
      <c r="A83" s="36" t="s">
        <v>65</v>
      </c>
      <c r="B83" s="16" t="s">
        <v>30</v>
      </c>
      <c r="C83" s="37">
        <v>0.47</v>
      </c>
      <c r="D83" s="37">
        <v>2.5000000000000001E-2</v>
      </c>
    </row>
    <row r="84" spans="1:4" x14ac:dyDescent="0.2">
      <c r="A84" s="36" t="s">
        <v>66</v>
      </c>
      <c r="B84" s="16" t="s">
        <v>30</v>
      </c>
      <c r="C84" s="37">
        <v>0.41499999999999998</v>
      </c>
      <c r="D84" s="37">
        <v>2.5000000000000001E-2</v>
      </c>
    </row>
    <row r="85" spans="1:4" x14ac:dyDescent="0.2">
      <c r="A85" s="36" t="s">
        <v>67</v>
      </c>
      <c r="B85" s="16" t="s">
        <v>30</v>
      </c>
      <c r="C85" s="37">
        <v>0.45</v>
      </c>
      <c r="D85" s="37">
        <v>2.5000000000000001E-2</v>
      </c>
    </row>
    <row r="86" spans="1:4" x14ac:dyDescent="0.2">
      <c r="A86" s="36" t="s">
        <v>68</v>
      </c>
      <c r="B86" s="16" t="s">
        <v>30</v>
      </c>
      <c r="C86" s="37">
        <v>0.32</v>
      </c>
      <c r="D86" s="37">
        <v>2.5000000000000001E-2</v>
      </c>
    </row>
    <row r="87" spans="1:4" x14ac:dyDescent="0.2">
      <c r="A87" s="36" t="s">
        <v>98</v>
      </c>
      <c r="B87" s="16" t="s">
        <v>30</v>
      </c>
      <c r="C87" s="37">
        <v>0.375</v>
      </c>
      <c r="D87" s="37">
        <v>2.5000000000000001E-2</v>
      </c>
    </row>
    <row r="88" spans="1:4" x14ac:dyDescent="0.2">
      <c r="A88" s="36" t="s">
        <v>11</v>
      </c>
      <c r="B88" s="16" t="s">
        <v>30</v>
      </c>
      <c r="C88" s="37">
        <v>0.52</v>
      </c>
      <c r="D88" s="37">
        <v>2.5000000000000001E-2</v>
      </c>
    </row>
    <row r="89" spans="1:4" x14ac:dyDescent="0.2">
      <c r="A89" s="36" t="s">
        <v>12</v>
      </c>
      <c r="B89" s="16" t="s">
        <v>30</v>
      </c>
      <c r="C89" s="37">
        <v>0</v>
      </c>
      <c r="D89" s="37">
        <v>0</v>
      </c>
    </row>
    <row r="90" spans="1:4" x14ac:dyDescent="0.2">
      <c r="A90" s="36" t="s">
        <v>13</v>
      </c>
      <c r="B90" s="16" t="s">
        <v>30</v>
      </c>
      <c r="C90" s="37">
        <v>0</v>
      </c>
      <c r="D90" s="37">
        <v>0</v>
      </c>
    </row>
    <row r="91" spans="1:4" x14ac:dyDescent="0.2">
      <c r="A91" s="36" t="s">
        <v>14</v>
      </c>
      <c r="B91" s="16" t="s">
        <v>30</v>
      </c>
      <c r="C91" s="37">
        <v>0</v>
      </c>
      <c r="D91" s="37">
        <v>0</v>
      </c>
    </row>
    <row r="92" spans="1:4" x14ac:dyDescent="0.2">
      <c r="A92" s="36" t="s">
        <v>15</v>
      </c>
      <c r="B92" s="16" t="s">
        <v>30</v>
      </c>
      <c r="C92" s="37">
        <v>0</v>
      </c>
      <c r="D92" s="37">
        <v>0</v>
      </c>
    </row>
    <row r="93" spans="1:4" x14ac:dyDescent="0.2">
      <c r="A93" s="36" t="s">
        <v>16</v>
      </c>
      <c r="B93" s="16" t="s">
        <v>30</v>
      </c>
      <c r="C93" s="37">
        <v>0</v>
      </c>
      <c r="D93" s="37">
        <v>0</v>
      </c>
    </row>
    <row r="94" spans="1:4" x14ac:dyDescent="0.2">
      <c r="A94" s="36" t="s">
        <v>53</v>
      </c>
      <c r="B94" s="16" t="s">
        <v>30</v>
      </c>
      <c r="C94" s="37">
        <v>0</v>
      </c>
      <c r="D94" s="37">
        <v>0</v>
      </c>
    </row>
    <row r="95" spans="1:4" x14ac:dyDescent="0.2">
      <c r="A95" s="36" t="s">
        <v>55</v>
      </c>
      <c r="B95" s="16" t="s">
        <v>30</v>
      </c>
      <c r="C95" s="37">
        <v>0</v>
      </c>
      <c r="D95" s="37">
        <v>0</v>
      </c>
    </row>
    <row r="96" spans="1:4" x14ac:dyDescent="0.2">
      <c r="A96" s="36" t="s">
        <v>56</v>
      </c>
      <c r="B96" s="16" t="s">
        <v>30</v>
      </c>
      <c r="C96" s="37">
        <v>0</v>
      </c>
      <c r="D96" s="37">
        <v>0</v>
      </c>
    </row>
    <row r="97" spans="1:4" x14ac:dyDescent="0.2">
      <c r="A97" s="36" t="s">
        <v>57</v>
      </c>
      <c r="B97" s="16" t="s">
        <v>30</v>
      </c>
      <c r="C97" s="37">
        <v>0</v>
      </c>
      <c r="D97" s="37">
        <v>0</v>
      </c>
    </row>
    <row r="98" spans="1:4" x14ac:dyDescent="0.2">
      <c r="A98" s="36" t="s">
        <v>59</v>
      </c>
      <c r="B98" s="16" t="s">
        <v>30</v>
      </c>
      <c r="C98" s="37">
        <v>0</v>
      </c>
      <c r="D98" s="37">
        <v>0</v>
      </c>
    </row>
    <row r="99" spans="1:4" x14ac:dyDescent="0.2">
      <c r="A99" s="36" t="s">
        <v>61</v>
      </c>
      <c r="B99" s="16" t="s">
        <v>30</v>
      </c>
      <c r="C99" s="37">
        <v>0</v>
      </c>
      <c r="D99" s="37">
        <v>0</v>
      </c>
    </row>
    <row r="100" spans="1:4" x14ac:dyDescent="0.2">
      <c r="A100" s="36" t="s">
        <v>60</v>
      </c>
      <c r="B100" s="16" t="s">
        <v>30</v>
      </c>
      <c r="C100" s="37">
        <v>0</v>
      </c>
      <c r="D100" s="37">
        <v>0</v>
      </c>
    </row>
    <row r="101" spans="1:4" x14ac:dyDescent="0.2">
      <c r="A101" s="36" t="s">
        <v>99</v>
      </c>
      <c r="B101" s="16" t="s">
        <v>30</v>
      </c>
      <c r="C101" s="37">
        <v>0</v>
      </c>
      <c r="D101" s="37">
        <v>0</v>
      </c>
    </row>
    <row r="102" spans="1:4" x14ac:dyDescent="0.2">
      <c r="A102" s="36" t="s">
        <v>100</v>
      </c>
      <c r="B102" s="16" t="s">
        <v>30</v>
      </c>
      <c r="C102" s="37">
        <v>0</v>
      </c>
      <c r="D102" s="37">
        <v>2.5000000000000001E-2</v>
      </c>
    </row>
    <row r="103" spans="1:4" x14ac:dyDescent="0.2">
      <c r="A103" s="36" t="s">
        <v>101</v>
      </c>
      <c r="B103" s="16" t="s">
        <v>30</v>
      </c>
      <c r="C103" s="37">
        <v>0</v>
      </c>
      <c r="D103" s="37">
        <v>0</v>
      </c>
    </row>
    <row r="104" spans="1:4" x14ac:dyDescent="0.2">
      <c r="A104" s="36" t="s">
        <v>102</v>
      </c>
      <c r="B104" s="16" t="s">
        <v>30</v>
      </c>
      <c r="C104" s="37">
        <v>0</v>
      </c>
      <c r="D104" s="37">
        <v>0</v>
      </c>
    </row>
    <row r="105" spans="1:4" x14ac:dyDescent="0.2">
      <c r="A105" s="36" t="s">
        <v>103</v>
      </c>
      <c r="B105" s="16" t="s">
        <v>30</v>
      </c>
      <c r="C105" s="37">
        <v>0</v>
      </c>
      <c r="D105" s="37">
        <v>2.5000000000000001E-2</v>
      </c>
    </row>
    <row r="106" spans="1:4" x14ac:dyDescent="0.2">
      <c r="A106" s="36" t="s">
        <v>104</v>
      </c>
      <c r="B106" s="16" t="s">
        <v>30</v>
      </c>
      <c r="C106" s="37">
        <v>0</v>
      </c>
      <c r="D106" s="37">
        <v>2.5000000000000001E-2</v>
      </c>
    </row>
    <row r="107" spans="1:4" x14ac:dyDescent="0.2">
      <c r="A107" s="36" t="s">
        <v>69</v>
      </c>
      <c r="B107" s="16" t="s">
        <v>30</v>
      </c>
      <c r="C107" s="37">
        <v>0.52</v>
      </c>
      <c r="D107" s="37">
        <v>2.5000000000000001E-2</v>
      </c>
    </row>
    <row r="108" spans="1:4" x14ac:dyDescent="0.2">
      <c r="A108" s="36" t="s">
        <v>70</v>
      </c>
      <c r="B108" s="16" t="s">
        <v>30</v>
      </c>
      <c r="C108" s="37">
        <v>0.52</v>
      </c>
      <c r="D108" s="37">
        <v>2.5000000000000001E-2</v>
      </c>
    </row>
    <row r="109" spans="1:4" x14ac:dyDescent="0.2">
      <c r="A109" s="36" t="s">
        <v>71</v>
      </c>
      <c r="B109" s="16" t="s">
        <v>30</v>
      </c>
      <c r="C109" s="37">
        <v>0</v>
      </c>
      <c r="D109" s="37">
        <v>0</v>
      </c>
    </row>
    <row r="110" spans="1:4" x14ac:dyDescent="0.2">
      <c r="A110" s="36" t="s">
        <v>72</v>
      </c>
      <c r="B110" s="16" t="s">
        <v>30</v>
      </c>
      <c r="C110" s="37">
        <v>0</v>
      </c>
      <c r="D110" s="37">
        <v>0</v>
      </c>
    </row>
    <row r="111" spans="1:4" x14ac:dyDescent="0.2">
      <c r="A111" s="36" t="s">
        <v>73</v>
      </c>
      <c r="B111" s="16" t="s">
        <v>30</v>
      </c>
      <c r="C111" s="37">
        <v>0</v>
      </c>
      <c r="D111" s="37">
        <v>0</v>
      </c>
    </row>
    <row r="112" spans="1:4" x14ac:dyDescent="0.2">
      <c r="A112" s="36" t="s">
        <v>74</v>
      </c>
      <c r="B112" s="16" t="s">
        <v>30</v>
      </c>
      <c r="C112" s="37">
        <v>0</v>
      </c>
      <c r="D112" s="37">
        <v>0</v>
      </c>
    </row>
    <row r="113" spans="1:4" x14ac:dyDescent="0.2">
      <c r="A113" s="36" t="s">
        <v>131</v>
      </c>
      <c r="B113" s="16" t="s">
        <v>30</v>
      </c>
      <c r="C113" s="37">
        <v>0</v>
      </c>
      <c r="D113" s="37">
        <v>0</v>
      </c>
    </row>
    <row r="114" spans="1:4" x14ac:dyDescent="0.2">
      <c r="A114" s="36" t="s">
        <v>105</v>
      </c>
      <c r="B114" s="16" t="s">
        <v>30</v>
      </c>
      <c r="C114" s="37">
        <v>0</v>
      </c>
      <c r="D114" s="37">
        <v>0</v>
      </c>
    </row>
    <row r="115" spans="1:4" x14ac:dyDescent="0.2">
      <c r="A115" s="36" t="s">
        <v>17</v>
      </c>
      <c r="B115" s="16" t="s">
        <v>30</v>
      </c>
      <c r="C115" s="37">
        <v>0</v>
      </c>
      <c r="D115" s="37">
        <v>0</v>
      </c>
    </row>
    <row r="116" spans="1:4" x14ac:dyDescent="0.2">
      <c r="A116" s="36" t="s">
        <v>18</v>
      </c>
      <c r="B116" s="16" t="s">
        <v>30</v>
      </c>
      <c r="C116" s="37">
        <v>0</v>
      </c>
      <c r="D116" s="37">
        <v>0</v>
      </c>
    </row>
    <row r="117" spans="1:4" x14ac:dyDescent="0.2">
      <c r="A117" s="36" t="s">
        <v>19</v>
      </c>
      <c r="B117" s="16" t="s">
        <v>30</v>
      </c>
      <c r="C117" s="37">
        <v>0.44</v>
      </c>
      <c r="D117" s="37">
        <v>2.5000000000000001E-2</v>
      </c>
    </row>
    <row r="118" spans="1:4" x14ac:dyDescent="0.2">
      <c r="A118" s="36" t="s">
        <v>20</v>
      </c>
      <c r="B118" s="16" t="s">
        <v>30</v>
      </c>
      <c r="C118" s="37">
        <v>0.45</v>
      </c>
      <c r="D118" s="37">
        <v>2.5000000000000001E-2</v>
      </c>
    </row>
    <row r="119" spans="1:4" x14ac:dyDescent="0.2">
      <c r="A119" s="36" t="s">
        <v>106</v>
      </c>
      <c r="B119" s="16" t="s">
        <v>30</v>
      </c>
      <c r="C119" s="37">
        <v>0</v>
      </c>
      <c r="D119" s="37">
        <v>0</v>
      </c>
    </row>
    <row r="120" spans="1:4" x14ac:dyDescent="0.2">
      <c r="A120" s="36" t="s">
        <v>75</v>
      </c>
      <c r="B120" s="16" t="s">
        <v>30</v>
      </c>
      <c r="C120" s="37">
        <v>0.5</v>
      </c>
      <c r="D120" s="37">
        <v>2.5000000000000001E-2</v>
      </c>
    </row>
    <row r="121" spans="1:4" x14ac:dyDescent="0.2">
      <c r="A121" s="36" t="s">
        <v>76</v>
      </c>
      <c r="B121" s="16" t="s">
        <v>30</v>
      </c>
      <c r="C121" s="37">
        <v>0.39</v>
      </c>
      <c r="D121" s="37">
        <v>2.5000000000000001E-2</v>
      </c>
    </row>
    <row r="122" spans="1:4" x14ac:dyDescent="0.2">
      <c r="A122" s="36" t="s">
        <v>77</v>
      </c>
      <c r="B122" s="16" t="s">
        <v>30</v>
      </c>
      <c r="C122" s="37">
        <v>0</v>
      </c>
      <c r="D122" s="37">
        <v>0</v>
      </c>
    </row>
    <row r="123" spans="1:4" x14ac:dyDescent="0.2">
      <c r="A123" s="36" t="s">
        <v>78</v>
      </c>
      <c r="B123" s="16" t="s">
        <v>30</v>
      </c>
      <c r="C123" s="37">
        <v>0.40499999999999997</v>
      </c>
      <c r="D123" s="37">
        <v>2.5000000000000001E-2</v>
      </c>
    </row>
    <row r="124" spans="1:4" x14ac:dyDescent="0.2">
      <c r="A124" s="36" t="s">
        <v>79</v>
      </c>
      <c r="B124" s="16" t="s">
        <v>30</v>
      </c>
      <c r="C124" s="37">
        <v>0.33</v>
      </c>
      <c r="D124" s="37">
        <v>2.5000000000000001E-2</v>
      </c>
    </row>
    <row r="125" spans="1:4" x14ac:dyDescent="0.2">
      <c r="A125" s="36" t="s">
        <v>107</v>
      </c>
      <c r="B125" s="16" t="s">
        <v>30</v>
      </c>
      <c r="C125" s="37">
        <v>0</v>
      </c>
      <c r="D125" s="37">
        <v>2.5000000000000001E-2</v>
      </c>
    </row>
    <row r="126" spans="1:4" x14ac:dyDescent="0.2">
      <c r="A126" s="36" t="s">
        <v>108</v>
      </c>
      <c r="B126" s="16" t="s">
        <v>30</v>
      </c>
      <c r="C126" s="37">
        <v>0</v>
      </c>
      <c r="D126" s="37">
        <v>2.5000000000000001E-2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205-2915-40EE-A279-5D43590A9422}">
  <sheetPr filterMode="1"/>
  <dimension ref="A2:V65"/>
  <sheetViews>
    <sheetView topLeftCell="B2" workbookViewId="0">
      <selection activeCell="B48" sqref="B48:V48"/>
    </sheetView>
  </sheetViews>
  <sheetFormatPr defaultColWidth="9.140625" defaultRowHeight="11.25" x14ac:dyDescent="0.2"/>
  <cols>
    <col min="1" max="1" width="52.5703125" style="9" bestFit="1" customWidth="1"/>
    <col min="2" max="2" width="3.85546875" style="9" customWidth="1"/>
    <col min="3" max="3" width="8.5703125" style="9" customWidth="1"/>
    <col min="4" max="4" width="10.28515625" style="9" customWidth="1"/>
    <col min="5" max="5" width="3.85546875" style="9" customWidth="1"/>
    <col min="6" max="6" width="8.5703125" style="9" customWidth="1"/>
    <col min="7" max="7" width="10.28515625" style="9" customWidth="1"/>
    <col min="8" max="8" width="3.85546875" style="9" customWidth="1"/>
    <col min="9" max="9" width="8.5703125" style="9" customWidth="1"/>
    <col min="10" max="10" width="10.28515625" style="9" customWidth="1"/>
    <col min="11" max="11" width="3.85546875" style="9" customWidth="1"/>
    <col min="12" max="12" width="8.5703125" style="9" customWidth="1"/>
    <col min="13" max="13" width="10.28515625" style="9" customWidth="1"/>
    <col min="14" max="14" width="3.85546875" style="9" customWidth="1"/>
    <col min="15" max="15" width="8.5703125" style="9" customWidth="1"/>
    <col min="16" max="16" width="10.28515625" style="9" customWidth="1"/>
    <col min="17" max="17" width="3.85546875" style="9" customWidth="1"/>
    <col min="18" max="18" width="8.5703125" style="9" customWidth="1"/>
    <col min="19" max="19" width="10.28515625" style="9" customWidth="1"/>
    <col min="20" max="20" width="3.85546875" style="9" bestFit="1" customWidth="1"/>
    <col min="21" max="21" width="8.5703125" style="9" bestFit="1" customWidth="1"/>
    <col min="22" max="22" width="10.28515625" style="9" bestFit="1" customWidth="1"/>
    <col min="23" max="16384" width="9.140625" style="9"/>
  </cols>
  <sheetData>
    <row r="2" spans="1:22" x14ac:dyDescent="0.2">
      <c r="B2" s="109" t="s">
        <v>134</v>
      </c>
      <c r="C2" s="109"/>
      <c r="D2" s="109"/>
      <c r="E2" s="109" t="s">
        <v>135</v>
      </c>
      <c r="F2" s="109"/>
      <c r="G2" s="109"/>
      <c r="H2" s="109" t="s">
        <v>136</v>
      </c>
      <c r="I2" s="109"/>
      <c r="J2" s="109"/>
      <c r="K2" s="109" t="s">
        <v>43</v>
      </c>
      <c r="L2" s="109"/>
      <c r="M2" s="109"/>
      <c r="N2" s="109" t="s">
        <v>44</v>
      </c>
      <c r="O2" s="109"/>
      <c r="P2" s="109"/>
      <c r="Q2" s="109" t="s">
        <v>45</v>
      </c>
      <c r="R2" s="109"/>
      <c r="S2" s="109"/>
      <c r="T2" s="109" t="s">
        <v>46</v>
      </c>
      <c r="U2" s="109"/>
      <c r="V2" s="109"/>
    </row>
    <row r="3" spans="1:22" x14ac:dyDescent="0.2">
      <c r="A3" s="1" t="s">
        <v>33</v>
      </c>
      <c r="B3" s="4" t="s">
        <v>47</v>
      </c>
      <c r="C3" s="4" t="s">
        <v>48</v>
      </c>
      <c r="D3" s="4" t="s">
        <v>49</v>
      </c>
      <c r="E3" s="4" t="s">
        <v>47</v>
      </c>
      <c r="F3" s="4" t="s">
        <v>48</v>
      </c>
      <c r="G3" s="4" t="s">
        <v>49</v>
      </c>
      <c r="H3" s="4" t="s">
        <v>47</v>
      </c>
      <c r="I3" s="4" t="s">
        <v>48</v>
      </c>
      <c r="J3" s="4" t="s">
        <v>49</v>
      </c>
      <c r="K3" s="4" t="s">
        <v>47</v>
      </c>
      <c r="L3" s="4" t="s">
        <v>48</v>
      </c>
      <c r="M3" s="4" t="s">
        <v>49</v>
      </c>
      <c r="N3" s="4" t="s">
        <v>47</v>
      </c>
      <c r="O3" s="4" t="s">
        <v>48</v>
      </c>
      <c r="P3" s="4" t="s">
        <v>49</v>
      </c>
      <c r="Q3" s="4" t="s">
        <v>47</v>
      </c>
      <c r="R3" s="4" t="s">
        <v>48</v>
      </c>
      <c r="S3" s="4" t="s">
        <v>49</v>
      </c>
      <c r="T3" s="4" t="s">
        <v>47</v>
      </c>
      <c r="U3" s="4" t="s">
        <v>48</v>
      </c>
      <c r="V3" s="4" t="s">
        <v>49</v>
      </c>
    </row>
    <row r="4" spans="1:22" hidden="1" x14ac:dyDescent="0.2">
      <c r="A4" s="36" t="s">
        <v>7</v>
      </c>
      <c r="B4" s="41">
        <v>0.36499999999999999</v>
      </c>
      <c r="C4" s="41">
        <v>0.47</v>
      </c>
      <c r="D4" s="41">
        <v>0.55000000000000004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0.31199999999999994</v>
      </c>
      <c r="R4" s="37">
        <v>0.43199999999999994</v>
      </c>
      <c r="S4" s="37">
        <v>0.52299999999999991</v>
      </c>
      <c r="T4" s="37">
        <v>0.28000000000000003</v>
      </c>
      <c r="U4" s="37">
        <v>0.28000000000000003</v>
      </c>
      <c r="V4" s="37">
        <v>0.27999999999999992</v>
      </c>
    </row>
    <row r="5" spans="1:22" hidden="1" x14ac:dyDescent="0.2">
      <c r="A5" s="36" t="s">
        <v>9</v>
      </c>
      <c r="B5" s="41">
        <v>0.36499999999999999</v>
      </c>
      <c r="C5" s="41">
        <v>0.47</v>
      </c>
      <c r="D5" s="41">
        <v>0.55000000000000004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0.31199999999999994</v>
      </c>
      <c r="R5" s="37">
        <v>0.43199999999999994</v>
      </c>
      <c r="S5" s="37">
        <v>0.52299999999999991</v>
      </c>
      <c r="T5" s="37">
        <v>0.28000000000000003</v>
      </c>
      <c r="U5" s="37">
        <v>0.28000000000000003</v>
      </c>
      <c r="V5" s="37">
        <v>0.27999999999999992</v>
      </c>
    </row>
    <row r="6" spans="1:22" hidden="1" x14ac:dyDescent="0.2">
      <c r="A6" s="36" t="s">
        <v>10</v>
      </c>
      <c r="B6" s="41">
        <v>0.36499999999999999</v>
      </c>
      <c r="C6" s="41">
        <v>0.47</v>
      </c>
      <c r="D6" s="41">
        <v>0.55000000000000004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9.9999999999999867E-2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0.31199999999999994</v>
      </c>
      <c r="R6" s="37">
        <v>0.43199999999999994</v>
      </c>
      <c r="S6" s="37">
        <v>0.52299999999999991</v>
      </c>
      <c r="T6" s="37">
        <v>0.28000000000000003</v>
      </c>
      <c r="U6" s="37">
        <v>0.28000000000000003</v>
      </c>
      <c r="V6" s="37">
        <v>0.27999999999999992</v>
      </c>
    </row>
    <row r="7" spans="1:22" hidden="1" x14ac:dyDescent="0.2">
      <c r="A7" s="36" t="s">
        <v>93</v>
      </c>
      <c r="B7" s="37">
        <v>0.23499999999999999</v>
      </c>
      <c r="C7" s="37">
        <v>0.27100000000000002</v>
      </c>
      <c r="D7" s="37">
        <v>0.34</v>
      </c>
      <c r="E7" s="37">
        <v>0</v>
      </c>
      <c r="F7" s="37">
        <v>0</v>
      </c>
      <c r="G7" s="37">
        <v>0</v>
      </c>
      <c r="H7" s="37">
        <v>0.39700000000000002</v>
      </c>
      <c r="I7" s="37">
        <v>0.39700000000000002</v>
      </c>
      <c r="J7" s="37">
        <v>0.42799999999999994</v>
      </c>
      <c r="K7" s="37">
        <v>0</v>
      </c>
      <c r="L7" s="37">
        <v>0.19600000000000006</v>
      </c>
      <c r="M7" s="37">
        <v>0.33800000000000008</v>
      </c>
      <c r="N7" s="37">
        <v>0</v>
      </c>
      <c r="O7" s="37">
        <v>0.14850000000000008</v>
      </c>
      <c r="P7" s="37">
        <v>0</v>
      </c>
      <c r="Q7" s="37">
        <v>0.14399999999999991</v>
      </c>
      <c r="R7" s="37">
        <v>0.25600000000000001</v>
      </c>
      <c r="S7" s="37">
        <v>0.37</v>
      </c>
      <c r="T7" s="37">
        <v>0</v>
      </c>
      <c r="U7" s="37">
        <v>0</v>
      </c>
      <c r="V7" s="37">
        <v>0</v>
      </c>
    </row>
    <row r="8" spans="1:22" hidden="1" x14ac:dyDescent="0.2">
      <c r="A8" s="36" t="s">
        <v>94</v>
      </c>
      <c r="B8" s="41">
        <v>0.38300000000000001</v>
      </c>
      <c r="C8" s="41">
        <v>0.42800000000000005</v>
      </c>
      <c r="D8" s="41">
        <v>0.4867999999999999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0.27100000000000002</v>
      </c>
      <c r="T8" s="37">
        <v>0</v>
      </c>
      <c r="U8" s="37">
        <v>0</v>
      </c>
      <c r="V8" s="37">
        <v>0</v>
      </c>
    </row>
    <row r="9" spans="1:22" hidden="1" x14ac:dyDescent="0.2">
      <c r="A9" s="36" t="s">
        <v>95</v>
      </c>
      <c r="B9" s="41">
        <v>0.38300000000000001</v>
      </c>
      <c r="C9" s="41">
        <v>0.42800000000000005</v>
      </c>
      <c r="D9" s="41">
        <v>0.4867999999999999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0.27100000000000002</v>
      </c>
      <c r="T9" s="37">
        <v>0</v>
      </c>
      <c r="U9" s="37">
        <v>0</v>
      </c>
      <c r="V9" s="37">
        <v>0</v>
      </c>
    </row>
    <row r="10" spans="1:22" hidden="1" x14ac:dyDescent="0.2">
      <c r="A10" s="36" t="s">
        <v>96</v>
      </c>
      <c r="B10" s="41">
        <v>0.38300000000000001</v>
      </c>
      <c r="C10" s="41">
        <v>0.42800000000000005</v>
      </c>
      <c r="D10" s="41">
        <v>0.4867999999999999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0.27100000000000002</v>
      </c>
      <c r="T10" s="37">
        <v>0</v>
      </c>
      <c r="U10" s="37">
        <v>0</v>
      </c>
      <c r="V10" s="37">
        <v>0</v>
      </c>
    </row>
    <row r="11" spans="1:22" hidden="1" x14ac:dyDescent="0.2">
      <c r="A11" s="36" t="s">
        <v>97</v>
      </c>
      <c r="B11" s="41">
        <v>0.5</v>
      </c>
      <c r="C11" s="41">
        <v>0.57200000000000006</v>
      </c>
      <c r="D11" s="41">
        <v>0.62</v>
      </c>
      <c r="E11" s="37">
        <v>0</v>
      </c>
      <c r="F11" s="37">
        <v>0</v>
      </c>
      <c r="G11" s="37">
        <v>0.4</v>
      </c>
      <c r="H11" s="37">
        <v>0.30600000000000005</v>
      </c>
      <c r="I11" s="37">
        <v>0.376</v>
      </c>
      <c r="J11" s="37">
        <v>0.46799999999999997</v>
      </c>
      <c r="K11" s="37">
        <v>0.11050000000000004</v>
      </c>
      <c r="L11" s="37">
        <v>0.2</v>
      </c>
      <c r="M11" s="37">
        <v>0.31</v>
      </c>
      <c r="N11" s="37">
        <v>0.12</v>
      </c>
      <c r="O11" s="37">
        <v>7.2500000000000009E-2</v>
      </c>
      <c r="P11" s="37">
        <v>0.22</v>
      </c>
      <c r="Q11" s="37">
        <v>0.31999999999999995</v>
      </c>
      <c r="R11" s="37">
        <v>0.38400000000000001</v>
      </c>
      <c r="S11" s="37">
        <v>0.47799999999999998</v>
      </c>
      <c r="T11" s="37">
        <v>0.50499999999999989</v>
      </c>
      <c r="U11" s="37">
        <v>0.50499999999999989</v>
      </c>
      <c r="V11" s="37">
        <v>0.51249999999999996</v>
      </c>
    </row>
    <row r="12" spans="1:22" hidden="1" x14ac:dyDescent="0.2">
      <c r="A12" s="36" t="s">
        <v>62</v>
      </c>
      <c r="B12" s="41">
        <v>0.43</v>
      </c>
      <c r="C12" s="41">
        <v>0.5</v>
      </c>
      <c r="D12" s="41">
        <v>0.59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0.29199999999999993</v>
      </c>
      <c r="K12" s="37">
        <v>0</v>
      </c>
      <c r="L12" s="37">
        <v>0</v>
      </c>
      <c r="M12" s="37">
        <v>8.5800000000000098E-2</v>
      </c>
      <c r="N12" s="37">
        <v>0</v>
      </c>
      <c r="O12" s="37">
        <v>0</v>
      </c>
      <c r="P12" s="37">
        <v>0</v>
      </c>
      <c r="Q12" s="37">
        <v>0.32799999999999996</v>
      </c>
      <c r="R12" s="37">
        <v>0.40799999999999992</v>
      </c>
      <c r="S12" s="37">
        <v>0.50499999999999989</v>
      </c>
      <c r="T12" s="37">
        <v>0</v>
      </c>
      <c r="U12" s="37">
        <v>0</v>
      </c>
      <c r="V12" s="37">
        <v>0</v>
      </c>
    </row>
    <row r="13" spans="1:22" hidden="1" x14ac:dyDescent="0.2">
      <c r="A13" s="36" t="s">
        <v>109</v>
      </c>
      <c r="B13" s="41">
        <v>0.33800000000000008</v>
      </c>
      <c r="C13" s="41">
        <v>0.45</v>
      </c>
      <c r="D13" s="41">
        <v>0.51</v>
      </c>
      <c r="E13" s="37">
        <v>0</v>
      </c>
      <c r="F13" s="37">
        <v>0</v>
      </c>
      <c r="G13" s="37">
        <v>0</v>
      </c>
      <c r="H13" s="37">
        <v>0.11699999999999999</v>
      </c>
      <c r="I13" s="37">
        <v>0.20100000000000007</v>
      </c>
      <c r="J13" s="37">
        <v>0.32399999999999995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7.1999999999999953E-2</v>
      </c>
      <c r="R13" s="37">
        <v>0.18399999999999994</v>
      </c>
      <c r="S13" s="37">
        <v>0.17200000000000004</v>
      </c>
      <c r="T13" s="37">
        <v>0</v>
      </c>
      <c r="U13" s="37">
        <v>0</v>
      </c>
      <c r="V13" s="37">
        <v>0</v>
      </c>
    </row>
    <row r="14" spans="1:22" hidden="1" x14ac:dyDescent="0.2">
      <c r="A14" s="36" t="s">
        <v>110</v>
      </c>
      <c r="B14" s="37">
        <v>0.28000000000000003</v>
      </c>
      <c r="C14" s="37">
        <v>0.38800000000000001</v>
      </c>
      <c r="D14" s="37">
        <v>0.44739999999999991</v>
      </c>
      <c r="E14" s="37">
        <v>0</v>
      </c>
      <c r="F14" s="37">
        <v>0</v>
      </c>
      <c r="G14" s="37">
        <v>0.3</v>
      </c>
      <c r="H14" s="37">
        <v>0.11699999999999999</v>
      </c>
      <c r="I14" s="37">
        <v>0.20100000000000007</v>
      </c>
      <c r="J14" s="37">
        <v>0.32399999999999995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7.1999999999999953E-2</v>
      </c>
      <c r="R14" s="37">
        <v>0.18399999999999994</v>
      </c>
      <c r="S14" s="37">
        <v>0.17200000000000004</v>
      </c>
      <c r="T14" s="37">
        <v>0</v>
      </c>
      <c r="U14" s="37">
        <v>0</v>
      </c>
      <c r="V14" s="37">
        <v>0</v>
      </c>
    </row>
    <row r="15" spans="1:22" hidden="1" x14ac:dyDescent="0.2">
      <c r="A15" s="36" t="s">
        <v>63</v>
      </c>
      <c r="B15" s="41">
        <v>0.36499999999999999</v>
      </c>
      <c r="C15" s="41">
        <v>0.49</v>
      </c>
      <c r="D15" s="41">
        <v>0.56999999999999995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0.51200000000000001</v>
      </c>
      <c r="R15" s="37">
        <v>0.55000000000000004</v>
      </c>
      <c r="S15" s="37">
        <v>0.61</v>
      </c>
      <c r="T15" s="37">
        <v>0</v>
      </c>
      <c r="U15" s="37">
        <v>0</v>
      </c>
      <c r="V15" s="37">
        <v>0</v>
      </c>
    </row>
    <row r="16" spans="1:22" hidden="1" x14ac:dyDescent="0.2">
      <c r="A16" s="36" t="s">
        <v>52</v>
      </c>
      <c r="B16" s="41">
        <v>0.65</v>
      </c>
      <c r="C16" s="41">
        <v>0.65</v>
      </c>
      <c r="D16" s="41">
        <v>0.65</v>
      </c>
      <c r="E16" s="37">
        <v>0</v>
      </c>
      <c r="F16" s="37">
        <v>0</v>
      </c>
      <c r="G16" s="37">
        <v>0</v>
      </c>
      <c r="H16" s="37">
        <v>0.38300000000000001</v>
      </c>
      <c r="I16" s="37">
        <v>0.39700000000000002</v>
      </c>
      <c r="J16" s="37">
        <v>0.42799999999999994</v>
      </c>
      <c r="K16" s="37">
        <v>0.28150000000000008</v>
      </c>
      <c r="L16" s="37">
        <v>0.39549999999999996</v>
      </c>
      <c r="M16" s="37">
        <v>0.3</v>
      </c>
      <c r="N16" s="37">
        <v>0.24350000000000005</v>
      </c>
      <c r="O16" s="37">
        <v>0.41449999999999998</v>
      </c>
      <c r="P16" s="37">
        <v>0.34</v>
      </c>
      <c r="Q16" s="37">
        <v>0.56000000000000005</v>
      </c>
      <c r="R16" s="37">
        <v>0.51999999999999991</v>
      </c>
      <c r="S16" s="37">
        <v>0.54999999999999993</v>
      </c>
      <c r="T16" s="37">
        <v>0</v>
      </c>
      <c r="U16" s="37">
        <v>0</v>
      </c>
      <c r="V16" s="37">
        <v>0</v>
      </c>
    </row>
    <row r="17" spans="1:22" hidden="1" x14ac:dyDescent="0.2">
      <c r="A17" s="36" t="s">
        <v>113</v>
      </c>
      <c r="B17" s="41">
        <v>0.5</v>
      </c>
      <c r="C17" s="41">
        <v>0.6</v>
      </c>
      <c r="D17" s="41">
        <v>0.57999999999999996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</row>
    <row r="18" spans="1:22" hidden="1" x14ac:dyDescent="0.2">
      <c r="A18" s="36" t="s">
        <v>114</v>
      </c>
      <c r="B18" s="41">
        <v>0.48199999999999998</v>
      </c>
      <c r="C18" s="41">
        <v>0.55400000000000005</v>
      </c>
      <c r="D18" s="41">
        <v>0.59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</row>
    <row r="19" spans="1:22" hidden="1" x14ac:dyDescent="0.2">
      <c r="A19" s="36" t="s">
        <v>115</v>
      </c>
      <c r="B19" s="41">
        <v>0.48199999999999998</v>
      </c>
      <c r="C19" s="41">
        <v>0.55400000000000005</v>
      </c>
      <c r="D19" s="41">
        <v>0.59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</row>
    <row r="20" spans="1:22" hidden="1" x14ac:dyDescent="0.2">
      <c r="A20" s="36" t="s">
        <v>116</v>
      </c>
      <c r="B20" s="41">
        <v>0.48199999999999998</v>
      </c>
      <c r="C20" s="41">
        <v>0.55400000000000005</v>
      </c>
      <c r="D20" s="41">
        <v>0.59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</row>
    <row r="21" spans="1:22" hidden="1" x14ac:dyDescent="0.2">
      <c r="A21" s="36" t="s">
        <v>64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</row>
    <row r="22" spans="1:22" hidden="1" x14ac:dyDescent="0.2">
      <c r="A22" s="36" t="s">
        <v>65</v>
      </c>
      <c r="B22" s="41">
        <v>0.5</v>
      </c>
      <c r="C22" s="41">
        <v>0.58099999999999996</v>
      </c>
      <c r="D22" s="41">
        <v>0.62630000000000008</v>
      </c>
      <c r="E22" s="37">
        <v>0</v>
      </c>
      <c r="F22" s="37">
        <v>0</v>
      </c>
      <c r="G22" s="37">
        <v>0</v>
      </c>
      <c r="H22" s="37">
        <v>0</v>
      </c>
      <c r="I22" s="37">
        <v>0.13100000000000001</v>
      </c>
      <c r="J22" s="37">
        <v>0.24399999999999999</v>
      </c>
      <c r="K22" s="37">
        <v>0.10100000000000009</v>
      </c>
      <c r="L22" s="37">
        <v>0.21500000000000008</v>
      </c>
      <c r="M22" s="37">
        <v>0.28999999999999998</v>
      </c>
      <c r="N22" s="37">
        <v>5.3499999999999992E-2</v>
      </c>
      <c r="O22" s="37">
        <v>0.19600000000000006</v>
      </c>
      <c r="P22" s="37">
        <v>0.31</v>
      </c>
      <c r="Q22" s="37">
        <v>0.40799999999999992</v>
      </c>
      <c r="R22" s="37">
        <v>0.47199999999999998</v>
      </c>
      <c r="S22" s="37">
        <v>0.54999999999999993</v>
      </c>
      <c r="T22" s="37">
        <v>0</v>
      </c>
      <c r="U22" s="37">
        <v>0</v>
      </c>
      <c r="V22" s="37">
        <v>0</v>
      </c>
    </row>
    <row r="23" spans="1:22" hidden="1" x14ac:dyDescent="0.2">
      <c r="A23" s="36" t="s">
        <v>66</v>
      </c>
      <c r="B23" s="41">
        <v>0.49099999999999999</v>
      </c>
      <c r="C23" s="41">
        <v>0.61</v>
      </c>
      <c r="D23" s="41">
        <v>0.65</v>
      </c>
      <c r="E23" s="37">
        <v>0</v>
      </c>
      <c r="F23" s="37">
        <v>0</v>
      </c>
      <c r="G23" s="37">
        <v>0</v>
      </c>
      <c r="H23" s="37">
        <v>0.18000000000000005</v>
      </c>
      <c r="I23" s="37">
        <v>0.26400000000000001</v>
      </c>
      <c r="J23" s="37">
        <v>0.36399999999999999</v>
      </c>
      <c r="K23" s="37">
        <v>0.10100000000000009</v>
      </c>
      <c r="L23" s="37">
        <v>0.17700000000000005</v>
      </c>
      <c r="M23" s="37">
        <v>0.24</v>
      </c>
      <c r="N23" s="37">
        <v>0</v>
      </c>
      <c r="O23" s="37">
        <v>0.19600000000000006</v>
      </c>
      <c r="P23" s="37">
        <v>0.31859999999999999</v>
      </c>
      <c r="Q23" s="37">
        <v>0.34399999999999997</v>
      </c>
      <c r="R23" s="37">
        <v>0.40799999999999992</v>
      </c>
      <c r="S23" s="37">
        <v>0.50499999999999989</v>
      </c>
      <c r="T23" s="37">
        <v>0</v>
      </c>
      <c r="U23" s="37">
        <v>0</v>
      </c>
      <c r="V23" s="37">
        <v>0</v>
      </c>
    </row>
    <row r="24" spans="1:22" hidden="1" x14ac:dyDescent="0.2">
      <c r="A24" s="36" t="s">
        <v>67</v>
      </c>
      <c r="B24" s="41">
        <v>0.59899999999999998</v>
      </c>
      <c r="C24" s="41">
        <v>0.65</v>
      </c>
      <c r="D24" s="41">
        <v>0.65</v>
      </c>
      <c r="E24" s="37">
        <v>0</v>
      </c>
      <c r="F24" s="37">
        <v>0</v>
      </c>
      <c r="G24" s="37">
        <v>0</v>
      </c>
      <c r="H24" s="37">
        <v>0.21500000000000008</v>
      </c>
      <c r="I24" s="37">
        <v>0.26400000000000001</v>
      </c>
      <c r="J24" s="37">
        <v>0.37999999999999989</v>
      </c>
      <c r="K24" s="37">
        <v>0</v>
      </c>
      <c r="L24" s="37">
        <v>0.10100000000000009</v>
      </c>
      <c r="M24" s="37">
        <v>0.24</v>
      </c>
      <c r="N24" s="37">
        <v>0</v>
      </c>
      <c r="O24" s="37">
        <v>0.23399999999999999</v>
      </c>
      <c r="P24" s="37">
        <v>0.26039999999999996</v>
      </c>
      <c r="Q24" s="37">
        <v>0</v>
      </c>
      <c r="R24" s="37">
        <v>0.11999999999999988</v>
      </c>
      <c r="S24" s="37">
        <v>0.28000000000000003</v>
      </c>
      <c r="T24" s="37">
        <v>0</v>
      </c>
      <c r="U24" s="37">
        <v>0</v>
      </c>
      <c r="V24" s="37">
        <v>0</v>
      </c>
    </row>
    <row r="25" spans="1:22" hidden="1" x14ac:dyDescent="0.2">
      <c r="A25" s="36" t="s">
        <v>68</v>
      </c>
      <c r="B25" s="41">
        <v>0.59899999999999998</v>
      </c>
      <c r="C25" s="41">
        <v>0.65</v>
      </c>
      <c r="D25" s="41">
        <v>0.65</v>
      </c>
      <c r="E25" s="37">
        <v>0</v>
      </c>
      <c r="F25" s="37">
        <v>0</v>
      </c>
      <c r="G25" s="37">
        <v>0.3</v>
      </c>
      <c r="H25" s="37">
        <v>0.21500000000000008</v>
      </c>
      <c r="I25" s="37">
        <v>0.26400000000000001</v>
      </c>
      <c r="J25" s="37">
        <v>0.37999999999999989</v>
      </c>
      <c r="K25" s="37">
        <v>0</v>
      </c>
      <c r="L25" s="37">
        <v>0.10100000000000009</v>
      </c>
      <c r="M25" s="37">
        <v>0.24</v>
      </c>
      <c r="N25" s="37">
        <v>0</v>
      </c>
      <c r="O25" s="37">
        <v>0.23399999999999999</v>
      </c>
      <c r="P25" s="37">
        <v>0.26039999999999996</v>
      </c>
      <c r="Q25" s="37">
        <v>0</v>
      </c>
      <c r="R25" s="37">
        <v>0.11999999999999988</v>
      </c>
      <c r="S25" s="37">
        <v>0.28000000000000003</v>
      </c>
      <c r="T25" s="37">
        <v>0</v>
      </c>
      <c r="U25" s="37">
        <v>0</v>
      </c>
      <c r="V25" s="37">
        <v>0</v>
      </c>
    </row>
    <row r="26" spans="1:22" hidden="1" x14ac:dyDescent="0.2">
      <c r="A26" s="36" t="s">
        <v>98</v>
      </c>
      <c r="B26" s="41">
        <v>0.53600000000000003</v>
      </c>
      <c r="C26" s="41">
        <v>0.6</v>
      </c>
      <c r="D26" s="41">
        <v>0.6</v>
      </c>
      <c r="E26" s="37">
        <v>0</v>
      </c>
      <c r="F26" s="37">
        <v>0</v>
      </c>
      <c r="G26" s="37">
        <v>0.4</v>
      </c>
      <c r="H26" s="37">
        <v>0.22899999999999998</v>
      </c>
      <c r="I26" s="37">
        <v>0.31299999999999994</v>
      </c>
      <c r="J26" s="37">
        <v>0.40399999999999991</v>
      </c>
      <c r="K26" s="37">
        <v>0</v>
      </c>
      <c r="L26" s="37">
        <v>0.17700000000000005</v>
      </c>
      <c r="M26" s="37">
        <v>0</v>
      </c>
      <c r="N26" s="37">
        <v>0.19600000000000006</v>
      </c>
      <c r="O26" s="37">
        <v>0</v>
      </c>
      <c r="P26" s="37">
        <v>0</v>
      </c>
      <c r="Q26" s="37">
        <v>0.31199999999999994</v>
      </c>
      <c r="R26" s="37">
        <v>0.3919999999999999</v>
      </c>
      <c r="S26" s="37">
        <v>0.48699999999999999</v>
      </c>
      <c r="T26" s="37">
        <v>0.41499999999999992</v>
      </c>
      <c r="U26" s="37">
        <v>0.41499999999999992</v>
      </c>
      <c r="V26" s="37">
        <v>0.41949999999999987</v>
      </c>
    </row>
    <row r="27" spans="1:22" hidden="1" x14ac:dyDescent="0.2">
      <c r="A27" s="36" t="s">
        <v>11</v>
      </c>
      <c r="B27" s="41">
        <v>0.33800000000000008</v>
      </c>
      <c r="C27" s="41">
        <v>0.51</v>
      </c>
      <c r="D27" s="41">
        <v>0.57999999999999996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0.16799999999999993</v>
      </c>
      <c r="S27" s="37">
        <v>0.33399999999999996</v>
      </c>
      <c r="T27" s="37">
        <v>0</v>
      </c>
      <c r="U27" s="37">
        <v>0</v>
      </c>
      <c r="V27" s="37">
        <v>0</v>
      </c>
    </row>
    <row r="28" spans="1:22" hidden="1" x14ac:dyDescent="0.2">
      <c r="A28" s="36" t="s">
        <v>12</v>
      </c>
      <c r="B28" s="41">
        <v>0.15800000000000003</v>
      </c>
      <c r="C28" s="41">
        <v>0.40100000000000002</v>
      </c>
      <c r="D28" s="41">
        <v>0.51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0.1359999999999999</v>
      </c>
      <c r="R28" s="37">
        <v>0.11199999999999988</v>
      </c>
      <c r="S28" s="37">
        <v>0.27100000000000002</v>
      </c>
      <c r="T28" s="37">
        <v>0</v>
      </c>
      <c r="U28" s="37">
        <v>0</v>
      </c>
      <c r="V28" s="37">
        <v>0</v>
      </c>
    </row>
    <row r="29" spans="1:22" hidden="1" x14ac:dyDescent="0.2">
      <c r="A29" s="36" t="s">
        <v>13</v>
      </c>
      <c r="B29" s="41">
        <v>0.15800000000000003</v>
      </c>
      <c r="C29" s="41">
        <v>0.40100000000000002</v>
      </c>
      <c r="D29" s="41">
        <v>0.51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0.1359999999999999</v>
      </c>
      <c r="R29" s="37">
        <v>0.11199999999999988</v>
      </c>
      <c r="S29" s="37">
        <v>0.27100000000000002</v>
      </c>
      <c r="T29" s="37">
        <v>0</v>
      </c>
      <c r="U29" s="37">
        <v>0</v>
      </c>
      <c r="V29" s="37">
        <v>0</v>
      </c>
    </row>
    <row r="30" spans="1:22" hidden="1" x14ac:dyDescent="0.2">
      <c r="A30" s="36" t="s">
        <v>14</v>
      </c>
      <c r="B30" s="41">
        <v>0.127</v>
      </c>
      <c r="C30" s="41">
        <v>0.15400000000000003</v>
      </c>
      <c r="D30" s="41">
        <v>0.31719999999999993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0.127</v>
      </c>
      <c r="T30" s="37">
        <v>0</v>
      </c>
      <c r="U30" s="37">
        <v>0</v>
      </c>
      <c r="V30" s="37">
        <v>0</v>
      </c>
    </row>
    <row r="31" spans="1:22" hidden="1" x14ac:dyDescent="0.2">
      <c r="A31" s="36" t="s">
        <v>15</v>
      </c>
      <c r="B31" s="41">
        <v>0.127</v>
      </c>
      <c r="C31" s="41">
        <v>0.15400000000000003</v>
      </c>
      <c r="D31" s="41">
        <v>0.31719999999999993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0.127</v>
      </c>
      <c r="T31" s="37">
        <v>0</v>
      </c>
      <c r="U31" s="37">
        <v>0</v>
      </c>
      <c r="V31" s="37">
        <v>0</v>
      </c>
    </row>
    <row r="32" spans="1:22" hidden="1" x14ac:dyDescent="0.2">
      <c r="A32" s="36" t="s">
        <v>16</v>
      </c>
      <c r="B32" s="41">
        <v>0.127</v>
      </c>
      <c r="C32" s="41">
        <v>0.15400000000000003</v>
      </c>
      <c r="D32" s="41">
        <v>0.31719999999999993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0.127</v>
      </c>
      <c r="T32" s="37">
        <v>0</v>
      </c>
      <c r="U32" s="37">
        <v>0</v>
      </c>
      <c r="V32" s="37">
        <v>0</v>
      </c>
    </row>
    <row r="33" spans="1:22" hidden="1" x14ac:dyDescent="0.2">
      <c r="A33" s="36" t="s">
        <v>53</v>
      </c>
      <c r="B33" s="41">
        <v>0.27500000000000002</v>
      </c>
      <c r="C33" s="41">
        <v>0.42800000000000005</v>
      </c>
      <c r="D33" s="41">
        <v>0.41239999999999999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0.26400000000000001</v>
      </c>
      <c r="S33" s="37">
        <v>0.379</v>
      </c>
      <c r="T33" s="37">
        <v>0</v>
      </c>
      <c r="U33" s="37">
        <v>0</v>
      </c>
      <c r="V33" s="37">
        <v>0</v>
      </c>
    </row>
    <row r="34" spans="1:22" hidden="1" x14ac:dyDescent="0.2">
      <c r="A34" s="36" t="s">
        <v>55</v>
      </c>
      <c r="B34" s="41">
        <v>0.27500000000000002</v>
      </c>
      <c r="C34" s="41">
        <v>0.42800000000000005</v>
      </c>
      <c r="D34" s="41">
        <v>0.41239999999999999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0.26400000000000001</v>
      </c>
      <c r="S34" s="37">
        <v>0.379</v>
      </c>
      <c r="T34" s="37">
        <v>0</v>
      </c>
      <c r="U34" s="37">
        <v>0</v>
      </c>
      <c r="V34" s="37">
        <v>0</v>
      </c>
    </row>
    <row r="35" spans="1:22" hidden="1" x14ac:dyDescent="0.2">
      <c r="A35" s="36" t="s">
        <v>56</v>
      </c>
      <c r="B35" s="41">
        <v>0.27500000000000002</v>
      </c>
      <c r="C35" s="41">
        <v>0.42800000000000005</v>
      </c>
      <c r="D35" s="41">
        <v>0.41239999999999999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0.26400000000000001</v>
      </c>
      <c r="S35" s="37">
        <v>0.379</v>
      </c>
      <c r="T35" s="37">
        <v>0</v>
      </c>
      <c r="U35" s="37">
        <v>0</v>
      </c>
      <c r="V35" s="37">
        <v>0</v>
      </c>
    </row>
    <row r="36" spans="1:22" hidden="1" x14ac:dyDescent="0.2">
      <c r="A36" s="36" t="s">
        <v>57</v>
      </c>
      <c r="B36" s="41">
        <v>0.626</v>
      </c>
      <c r="C36" s="41">
        <v>0.68</v>
      </c>
      <c r="D36" s="41">
        <v>0.68</v>
      </c>
      <c r="E36" s="37">
        <v>0</v>
      </c>
      <c r="F36" s="37">
        <v>0</v>
      </c>
      <c r="G36" s="37">
        <v>0.4</v>
      </c>
      <c r="H36" s="37">
        <v>0.23599999999999999</v>
      </c>
      <c r="I36" s="37">
        <v>0.32000000000000006</v>
      </c>
      <c r="J36" s="37">
        <v>0.41999999999999993</v>
      </c>
      <c r="K36" s="37">
        <v>0</v>
      </c>
      <c r="L36" s="37">
        <v>0.22</v>
      </c>
      <c r="M36" s="37">
        <v>0.32</v>
      </c>
      <c r="N36" s="37">
        <v>8.2000000000000073E-2</v>
      </c>
      <c r="O36" s="37">
        <v>0.22</v>
      </c>
      <c r="P36" s="37">
        <v>0.3</v>
      </c>
      <c r="Q36" s="37">
        <v>0.51200000000000001</v>
      </c>
      <c r="R36" s="37">
        <v>0.51200000000000001</v>
      </c>
      <c r="S36" s="37">
        <v>0.54999999999999993</v>
      </c>
      <c r="T36" s="37">
        <v>0.50499999999999989</v>
      </c>
      <c r="U36" s="37">
        <v>0.50499999999999989</v>
      </c>
      <c r="V36" s="37">
        <v>0.51249999999999996</v>
      </c>
    </row>
    <row r="37" spans="1:22" hidden="1" x14ac:dyDescent="0.2">
      <c r="A37" s="36" t="s">
        <v>59</v>
      </c>
      <c r="B37" s="41">
        <v>0.41900000000000004</v>
      </c>
      <c r="C37" s="41">
        <v>0.55000000000000004</v>
      </c>
      <c r="D37" s="41">
        <v>0.64</v>
      </c>
      <c r="E37" s="37">
        <v>0</v>
      </c>
      <c r="F37" s="37">
        <v>0</v>
      </c>
      <c r="G37" s="37">
        <v>0.4</v>
      </c>
      <c r="H37" s="37">
        <v>0</v>
      </c>
      <c r="I37" s="37">
        <v>0.18000000000000005</v>
      </c>
      <c r="J37" s="37">
        <v>0.28399999999999992</v>
      </c>
      <c r="K37" s="37">
        <v>0</v>
      </c>
      <c r="L37" s="37">
        <v>0.23499999999999999</v>
      </c>
      <c r="M37" s="37">
        <v>0.28000000000000003</v>
      </c>
      <c r="N37" s="37">
        <v>8.2000000000000073E-2</v>
      </c>
      <c r="O37" s="37">
        <v>0.24</v>
      </c>
      <c r="P37" s="37">
        <v>0.28000000000000003</v>
      </c>
      <c r="Q37" s="37">
        <v>0.51200000000000001</v>
      </c>
      <c r="R37" s="37">
        <v>0.51200000000000001</v>
      </c>
      <c r="S37" s="37">
        <v>0.54999999999999993</v>
      </c>
      <c r="T37" s="37">
        <v>0.50499999999999989</v>
      </c>
      <c r="U37" s="37">
        <v>0.50499999999999989</v>
      </c>
      <c r="V37" s="37">
        <v>0.51249999999999996</v>
      </c>
    </row>
    <row r="38" spans="1:22" hidden="1" x14ac:dyDescent="0.2">
      <c r="A38" s="36" t="s">
        <v>61</v>
      </c>
      <c r="B38" s="41">
        <v>0.626</v>
      </c>
      <c r="C38" s="41">
        <v>0.68</v>
      </c>
      <c r="D38" s="41">
        <v>0.68</v>
      </c>
      <c r="E38" s="37">
        <v>0</v>
      </c>
      <c r="F38" s="37">
        <v>0</v>
      </c>
      <c r="G38" s="37">
        <v>0.4</v>
      </c>
      <c r="H38" s="37">
        <v>0.23599999999999999</v>
      </c>
      <c r="I38" s="37">
        <v>0.32000000000000006</v>
      </c>
      <c r="J38" s="37">
        <v>0.41999999999999993</v>
      </c>
      <c r="K38" s="37">
        <v>0</v>
      </c>
      <c r="L38" s="37">
        <v>0.22</v>
      </c>
      <c r="M38" s="37">
        <v>0.32</v>
      </c>
      <c r="N38" s="37">
        <v>8.2000000000000073E-2</v>
      </c>
      <c r="O38" s="37">
        <v>0.22</v>
      </c>
      <c r="P38" s="37">
        <v>0.3</v>
      </c>
      <c r="Q38" s="37">
        <v>0.51200000000000001</v>
      </c>
      <c r="R38" s="37">
        <v>0.51200000000000001</v>
      </c>
      <c r="S38" s="37">
        <v>0.54999999999999993</v>
      </c>
      <c r="T38" s="37">
        <v>0.50499999999999989</v>
      </c>
      <c r="U38" s="37">
        <v>0.50499999999999989</v>
      </c>
      <c r="V38" s="37">
        <v>0.51249999999999996</v>
      </c>
    </row>
    <row r="39" spans="1:22" hidden="1" x14ac:dyDescent="0.2">
      <c r="A39" s="36" t="s">
        <v>60</v>
      </c>
      <c r="B39" s="41">
        <v>0.41900000000000004</v>
      </c>
      <c r="C39" s="41">
        <v>0.55000000000000004</v>
      </c>
      <c r="D39" s="41">
        <v>0.64</v>
      </c>
      <c r="E39" s="37">
        <v>0</v>
      </c>
      <c r="F39" s="37">
        <v>0</v>
      </c>
      <c r="G39" s="37">
        <v>0.4</v>
      </c>
      <c r="H39" s="37">
        <v>0</v>
      </c>
      <c r="I39" s="37">
        <v>0.18000000000000005</v>
      </c>
      <c r="J39" s="37">
        <v>0.28399999999999992</v>
      </c>
      <c r="K39" s="37">
        <v>0</v>
      </c>
      <c r="L39" s="37">
        <v>0.21</v>
      </c>
      <c r="M39" s="37">
        <v>0.28000000000000003</v>
      </c>
      <c r="N39" s="37">
        <v>8.2000000000000073E-2</v>
      </c>
      <c r="O39" s="37">
        <v>0.21</v>
      </c>
      <c r="P39" s="37">
        <v>0.28000000000000003</v>
      </c>
      <c r="Q39" s="37">
        <v>0.51200000000000001</v>
      </c>
      <c r="R39" s="37">
        <v>0.51200000000000001</v>
      </c>
      <c r="S39" s="37">
        <v>0.54999999999999993</v>
      </c>
      <c r="T39" s="37">
        <v>0.50499999999999989</v>
      </c>
      <c r="U39" s="37">
        <v>0.50499999999999989</v>
      </c>
      <c r="V39" s="37">
        <v>0.51249999999999996</v>
      </c>
    </row>
    <row r="40" spans="1:22" hidden="1" x14ac:dyDescent="0.2">
      <c r="A40" s="36" t="s">
        <v>99</v>
      </c>
      <c r="B40" s="37">
        <v>0.127</v>
      </c>
      <c r="C40" s="37">
        <v>0.24399999999999999</v>
      </c>
      <c r="D40" s="37">
        <v>0.37299999999999989</v>
      </c>
      <c r="E40" s="37">
        <v>0</v>
      </c>
      <c r="F40" s="37">
        <v>0</v>
      </c>
      <c r="G40" s="37">
        <v>0</v>
      </c>
      <c r="H40" s="37">
        <v>0.39700000000000002</v>
      </c>
      <c r="I40" s="37">
        <v>0.39700000000000002</v>
      </c>
      <c r="J40" s="37">
        <v>0.42799999999999994</v>
      </c>
      <c r="K40" s="37">
        <v>0</v>
      </c>
      <c r="L40" s="37">
        <v>0.14850000000000008</v>
      </c>
      <c r="M40" s="37">
        <v>0</v>
      </c>
      <c r="N40" s="37">
        <v>0</v>
      </c>
      <c r="O40" s="37">
        <v>9.1500000000000026E-2</v>
      </c>
      <c r="P40" s="37">
        <v>0</v>
      </c>
      <c r="Q40" s="37">
        <v>0</v>
      </c>
      <c r="R40" s="37">
        <v>0.11199999999999988</v>
      </c>
      <c r="S40" s="37">
        <v>0.35199999999999998</v>
      </c>
      <c r="T40" s="37">
        <v>0</v>
      </c>
      <c r="U40" s="37">
        <v>0</v>
      </c>
      <c r="V40" s="37">
        <v>0</v>
      </c>
    </row>
    <row r="41" spans="1:22" hidden="1" x14ac:dyDescent="0.2">
      <c r="A41" s="36" t="s">
        <v>100</v>
      </c>
      <c r="B41" s="37">
        <v>0.28900000000000003</v>
      </c>
      <c r="C41" s="37">
        <v>0.32499999999999996</v>
      </c>
      <c r="D41" s="37">
        <v>0.4101999999999999</v>
      </c>
      <c r="E41" s="37">
        <v>0</v>
      </c>
      <c r="F41" s="37">
        <v>0</v>
      </c>
      <c r="G41" s="37">
        <v>0</v>
      </c>
      <c r="H41" s="37">
        <v>0.39700000000000002</v>
      </c>
      <c r="I41" s="37">
        <v>0.39700000000000002</v>
      </c>
      <c r="J41" s="37">
        <v>0.42799999999999994</v>
      </c>
      <c r="K41" s="37">
        <v>0</v>
      </c>
      <c r="L41" s="37">
        <v>0.14850000000000008</v>
      </c>
      <c r="M41" s="37">
        <v>0</v>
      </c>
      <c r="N41" s="37">
        <v>0</v>
      </c>
      <c r="O41" s="37">
        <v>0.10100000000000009</v>
      </c>
      <c r="P41" s="37">
        <v>0</v>
      </c>
      <c r="Q41" s="37">
        <v>0.23999999999999988</v>
      </c>
      <c r="R41" s="37">
        <v>0.44799999999999995</v>
      </c>
      <c r="S41" s="37">
        <v>0.38800000000000001</v>
      </c>
      <c r="T41" s="37">
        <v>0</v>
      </c>
      <c r="U41" s="37">
        <v>0</v>
      </c>
      <c r="V41" s="37">
        <v>0</v>
      </c>
    </row>
    <row r="42" spans="1:22" hidden="1" x14ac:dyDescent="0.2">
      <c r="A42" s="36" t="s">
        <v>101</v>
      </c>
      <c r="B42" s="37">
        <v>0.33399999999999996</v>
      </c>
      <c r="C42" s="37">
        <v>0.34299999999999997</v>
      </c>
      <c r="D42" s="37">
        <v>0.48459999999999998</v>
      </c>
      <c r="E42" s="37">
        <v>0</v>
      </c>
      <c r="F42" s="37">
        <v>0</v>
      </c>
      <c r="G42" s="37">
        <v>0</v>
      </c>
      <c r="H42" s="37">
        <v>0</v>
      </c>
      <c r="I42" s="37">
        <v>0.13800000000000001</v>
      </c>
      <c r="J42" s="37">
        <v>0.17999999999999983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0.11999999999999988</v>
      </c>
      <c r="S42" s="37">
        <v>0.23499999999999999</v>
      </c>
      <c r="T42" s="37">
        <v>0</v>
      </c>
      <c r="U42" s="37">
        <v>0</v>
      </c>
      <c r="V42" s="37">
        <v>0</v>
      </c>
    </row>
    <row r="43" spans="1:22" hidden="1" x14ac:dyDescent="0.2">
      <c r="A43" s="36" t="s">
        <v>102</v>
      </c>
      <c r="B43" s="37">
        <v>0.17200000000000004</v>
      </c>
      <c r="C43" s="37">
        <v>0.253</v>
      </c>
      <c r="D43" s="37">
        <v>0.37299999999999989</v>
      </c>
      <c r="E43" s="37">
        <v>0</v>
      </c>
      <c r="F43" s="37">
        <v>0</v>
      </c>
      <c r="G43" s="37">
        <v>0</v>
      </c>
      <c r="H43" s="37">
        <v>0</v>
      </c>
      <c r="I43" s="37">
        <v>9.5999999999999974E-2</v>
      </c>
      <c r="J43" s="37">
        <v>0.20399999999999985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0.15999999999999992</v>
      </c>
      <c r="R43" s="37">
        <v>0.26400000000000001</v>
      </c>
      <c r="S43" s="37">
        <v>0.37</v>
      </c>
      <c r="T43" s="37">
        <v>0</v>
      </c>
      <c r="U43" s="37">
        <v>0</v>
      </c>
      <c r="V43" s="37">
        <v>0</v>
      </c>
    </row>
    <row r="44" spans="1:22" hidden="1" x14ac:dyDescent="0.2">
      <c r="A44" s="36" t="s">
        <v>103</v>
      </c>
      <c r="B44" s="41">
        <v>0.44</v>
      </c>
      <c r="C44" s="41">
        <v>0.57200000000000006</v>
      </c>
      <c r="D44" s="41">
        <v>0.62</v>
      </c>
      <c r="E44" s="37">
        <v>0</v>
      </c>
      <c r="F44" s="37">
        <v>0</v>
      </c>
      <c r="G44" s="37">
        <v>0.3</v>
      </c>
      <c r="H44" s="37">
        <v>0.13800000000000001</v>
      </c>
      <c r="I44" s="37">
        <v>0.22899999999999998</v>
      </c>
      <c r="J44" s="37">
        <v>0.33199999999999996</v>
      </c>
      <c r="K44" s="37">
        <v>0</v>
      </c>
      <c r="L44" s="37">
        <v>0.15800000000000003</v>
      </c>
      <c r="M44" s="37">
        <v>0.26</v>
      </c>
      <c r="N44" s="37">
        <v>0</v>
      </c>
      <c r="O44" s="37">
        <v>0.253</v>
      </c>
      <c r="P44" s="37">
        <v>0.31</v>
      </c>
      <c r="Q44" s="37">
        <v>0.26400000000000001</v>
      </c>
      <c r="R44" s="37">
        <v>0.3919999999999999</v>
      </c>
      <c r="S44" s="37">
        <v>0.49599999999999994</v>
      </c>
      <c r="T44" s="37">
        <v>0.28000000000000003</v>
      </c>
      <c r="U44" s="37">
        <v>0.28000000000000003</v>
      </c>
      <c r="V44" s="37">
        <v>0.27999999999999992</v>
      </c>
    </row>
    <row r="45" spans="1:22" hidden="1" x14ac:dyDescent="0.2">
      <c r="A45" s="36" t="s">
        <v>104</v>
      </c>
      <c r="B45" s="41">
        <v>0.43700000000000006</v>
      </c>
      <c r="C45" s="41">
        <v>0.56999999999999995</v>
      </c>
      <c r="D45" s="41">
        <v>0.62</v>
      </c>
      <c r="E45" s="37">
        <v>0</v>
      </c>
      <c r="F45" s="37">
        <v>0</v>
      </c>
      <c r="G45" s="37">
        <v>0.3</v>
      </c>
      <c r="H45" s="37">
        <v>0.13800000000000001</v>
      </c>
      <c r="I45" s="37">
        <v>0.22899999999999998</v>
      </c>
      <c r="J45" s="37">
        <v>0.33199999999999996</v>
      </c>
      <c r="K45" s="37">
        <v>0</v>
      </c>
      <c r="L45" s="37">
        <v>0.15800000000000003</v>
      </c>
      <c r="M45" s="37">
        <v>0.26</v>
      </c>
      <c r="N45" s="37">
        <v>0</v>
      </c>
      <c r="O45" s="37">
        <v>0.253</v>
      </c>
      <c r="P45" s="37">
        <v>0.31</v>
      </c>
      <c r="Q45" s="37">
        <v>0.26400000000000001</v>
      </c>
      <c r="R45" s="37">
        <v>0.3919999999999999</v>
      </c>
      <c r="S45" s="37">
        <v>0.49599999999999994</v>
      </c>
      <c r="T45" s="37">
        <v>0.28000000000000003</v>
      </c>
      <c r="U45" s="37">
        <v>0.28000000000000003</v>
      </c>
      <c r="V45" s="37">
        <v>0.27999999999999992</v>
      </c>
    </row>
    <row r="46" spans="1:22" hidden="1" x14ac:dyDescent="0.2">
      <c r="A46" s="36" t="s">
        <v>69</v>
      </c>
      <c r="B46" s="41">
        <v>0.41900000000000004</v>
      </c>
      <c r="C46" s="41">
        <v>0.47299999999999998</v>
      </c>
      <c r="D46" s="41">
        <v>0.59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0.21199999999999986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0.39999999999999991</v>
      </c>
      <c r="R46" s="37">
        <v>0.43199999999999994</v>
      </c>
      <c r="S46" s="37">
        <v>0.54999999999999993</v>
      </c>
      <c r="T46" s="37">
        <v>0.28000000000000003</v>
      </c>
      <c r="U46" s="37">
        <v>0.28000000000000003</v>
      </c>
      <c r="V46" s="37">
        <v>0.27999999999999992</v>
      </c>
    </row>
    <row r="47" spans="1:22" hidden="1" x14ac:dyDescent="0.2">
      <c r="A47" s="36" t="s">
        <v>70</v>
      </c>
      <c r="B47" s="41">
        <v>0.41900000000000004</v>
      </c>
      <c r="C47" s="41">
        <v>0.47299999999999998</v>
      </c>
      <c r="D47" s="41">
        <v>0.59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0.21199999999999986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0.39999999999999991</v>
      </c>
      <c r="R47" s="37">
        <v>0.43199999999999994</v>
      </c>
      <c r="S47" s="37">
        <v>0.54999999999999993</v>
      </c>
      <c r="T47" s="37">
        <v>0.28000000000000003</v>
      </c>
      <c r="U47" s="37">
        <v>0.28000000000000003</v>
      </c>
      <c r="V47" s="37">
        <v>0.27999999999999992</v>
      </c>
    </row>
    <row r="48" spans="1:22" x14ac:dyDescent="0.2">
      <c r="A48" s="36" t="s">
        <v>71</v>
      </c>
      <c r="B48" s="41">
        <v>0</v>
      </c>
      <c r="C48" s="41">
        <v>5.5000000000000049E-2</v>
      </c>
      <c r="D48" s="41">
        <v>0.23349999999999993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0.17999999999999983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0.25600000000000001</v>
      </c>
      <c r="R48" s="37">
        <v>0.248</v>
      </c>
      <c r="S48" s="37">
        <v>0.36099999999999999</v>
      </c>
      <c r="T48" s="37">
        <v>0</v>
      </c>
      <c r="U48" s="37">
        <v>0</v>
      </c>
      <c r="V48" s="37">
        <v>0</v>
      </c>
    </row>
    <row r="49" spans="1:22" x14ac:dyDescent="0.2">
      <c r="A49" s="36" t="s">
        <v>72</v>
      </c>
      <c r="B49" s="41">
        <v>0</v>
      </c>
      <c r="C49" s="41">
        <v>5.5000000000000049E-2</v>
      </c>
      <c r="D49" s="41">
        <v>0.23349999999999993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0.17999999999999983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0.25600000000000001</v>
      </c>
      <c r="R49" s="37">
        <v>0.248</v>
      </c>
      <c r="S49" s="37">
        <v>0.36099999999999999</v>
      </c>
      <c r="T49" s="37">
        <v>0</v>
      </c>
      <c r="U49" s="37">
        <v>0</v>
      </c>
      <c r="V49" s="37">
        <v>0</v>
      </c>
    </row>
    <row r="50" spans="1:22" x14ac:dyDescent="0.2">
      <c r="A50" s="36" t="s">
        <v>73</v>
      </c>
      <c r="B50" s="41">
        <v>0</v>
      </c>
      <c r="C50" s="41">
        <v>5.5000000000000049E-2</v>
      </c>
      <c r="D50" s="41">
        <v>0.23349999999999993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0.10799999999999987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0.12799999999999989</v>
      </c>
      <c r="S50" s="37">
        <v>0.253</v>
      </c>
      <c r="T50" s="37">
        <v>0</v>
      </c>
      <c r="U50" s="37">
        <v>0</v>
      </c>
      <c r="V50" s="37">
        <v>0</v>
      </c>
    </row>
    <row r="51" spans="1:22" x14ac:dyDescent="0.2">
      <c r="A51" s="36" t="s">
        <v>74</v>
      </c>
      <c r="B51" s="41">
        <v>0.14500000000000002</v>
      </c>
      <c r="C51" s="41">
        <v>0.21699999999999997</v>
      </c>
      <c r="D51" s="41">
        <v>0.36369999999999991</v>
      </c>
      <c r="E51" s="37">
        <v>0</v>
      </c>
      <c r="F51" s="37">
        <v>0</v>
      </c>
      <c r="G51" s="37">
        <v>0</v>
      </c>
      <c r="H51" s="37">
        <v>0.10299999999999998</v>
      </c>
      <c r="I51" s="37">
        <v>0.20100000000000007</v>
      </c>
      <c r="J51" s="37">
        <v>0.30799999999999994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0.15199999999999991</v>
      </c>
      <c r="R51" s="37">
        <v>0.23199999999999987</v>
      </c>
      <c r="S51" s="37">
        <v>0.37</v>
      </c>
      <c r="T51" s="37">
        <v>0</v>
      </c>
      <c r="U51" s="37">
        <v>0</v>
      </c>
      <c r="V51" s="37">
        <v>0</v>
      </c>
    </row>
    <row r="52" spans="1:22" hidden="1" x14ac:dyDescent="0.2">
      <c r="A52" s="36" t="s">
        <v>131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</row>
    <row r="53" spans="1:22" hidden="1" x14ac:dyDescent="0.2">
      <c r="A53" s="36" t="s">
        <v>105</v>
      </c>
      <c r="B53" s="37">
        <v>9.099999999999997E-2</v>
      </c>
      <c r="C53" s="37">
        <v>0.20799999999999996</v>
      </c>
      <c r="D53" s="37">
        <v>0.33579999999999988</v>
      </c>
      <c r="E53" s="37">
        <v>0</v>
      </c>
      <c r="F53" s="37">
        <v>0</v>
      </c>
      <c r="G53" s="37">
        <v>0</v>
      </c>
      <c r="H53" s="37">
        <v>0.39700000000000002</v>
      </c>
      <c r="I53" s="37">
        <v>0.39700000000000002</v>
      </c>
      <c r="J53" s="37">
        <v>0.42799999999999994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0.45599999999999996</v>
      </c>
      <c r="R53" s="37">
        <v>0.51200000000000001</v>
      </c>
      <c r="S53" s="37">
        <v>0.54999999999999993</v>
      </c>
      <c r="T53" s="37">
        <v>0</v>
      </c>
      <c r="U53" s="37">
        <v>0</v>
      </c>
      <c r="V53" s="37">
        <v>0</v>
      </c>
    </row>
    <row r="54" spans="1:22" hidden="1" x14ac:dyDescent="0.2">
      <c r="A54" s="36" t="s">
        <v>17</v>
      </c>
      <c r="B54" s="41">
        <v>0.18500000000000005</v>
      </c>
      <c r="C54" s="41">
        <v>0.3</v>
      </c>
      <c r="D54" s="41">
        <v>0.48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5.5000000000000049E-2</v>
      </c>
      <c r="T54" s="37">
        <v>0</v>
      </c>
      <c r="U54" s="37">
        <v>0</v>
      </c>
      <c r="V54" s="37">
        <v>0</v>
      </c>
    </row>
    <row r="55" spans="1:22" hidden="1" x14ac:dyDescent="0.2">
      <c r="A55" s="36" t="s">
        <v>18</v>
      </c>
      <c r="B55" s="41">
        <v>0</v>
      </c>
      <c r="C55" s="41">
        <v>0.24399999999999999</v>
      </c>
      <c r="D55" s="41">
        <v>0.35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5.5000000000000049E-2</v>
      </c>
      <c r="T55" s="37">
        <v>0</v>
      </c>
      <c r="U55" s="37">
        <v>0</v>
      </c>
      <c r="V55" s="37">
        <v>0</v>
      </c>
    </row>
    <row r="56" spans="1:22" hidden="1" x14ac:dyDescent="0.2">
      <c r="A56" s="36" t="s">
        <v>19</v>
      </c>
      <c r="B56" s="41">
        <v>0.32000000000000006</v>
      </c>
      <c r="C56" s="41">
        <v>0.4</v>
      </c>
      <c r="D56" s="41">
        <v>0.56000000000000005</v>
      </c>
      <c r="E56" s="37">
        <v>0</v>
      </c>
      <c r="F56" s="37">
        <v>0</v>
      </c>
      <c r="G56" s="37">
        <v>0</v>
      </c>
      <c r="H56" s="37">
        <v>0</v>
      </c>
      <c r="I56" s="37">
        <v>0.20100000000000007</v>
      </c>
      <c r="J56" s="37">
        <v>0.28399999999999992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0.376</v>
      </c>
      <c r="R56" s="37">
        <v>0.40799999999999992</v>
      </c>
      <c r="S56" s="37">
        <v>0.51400000000000001</v>
      </c>
      <c r="T56" s="37">
        <v>0</v>
      </c>
      <c r="U56" s="37">
        <v>0</v>
      </c>
      <c r="V56" s="37">
        <v>0</v>
      </c>
    </row>
    <row r="57" spans="1:22" hidden="1" x14ac:dyDescent="0.2">
      <c r="A57" s="36" t="s">
        <v>20</v>
      </c>
      <c r="B57" s="41">
        <v>0.32000000000000006</v>
      </c>
      <c r="C57" s="41">
        <v>0.4</v>
      </c>
      <c r="D57" s="41">
        <v>0.56000000000000005</v>
      </c>
      <c r="E57" s="37">
        <v>0</v>
      </c>
      <c r="F57" s="37">
        <v>0</v>
      </c>
      <c r="G57" s="37">
        <v>0.3</v>
      </c>
      <c r="H57" s="37">
        <v>0</v>
      </c>
      <c r="I57" s="37">
        <v>0.20100000000000007</v>
      </c>
      <c r="J57" s="37">
        <v>0.28399999999999992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0.376</v>
      </c>
      <c r="R57" s="37">
        <v>0.40799999999999992</v>
      </c>
      <c r="S57" s="37">
        <v>0.51400000000000001</v>
      </c>
      <c r="T57" s="37">
        <v>0</v>
      </c>
      <c r="U57" s="37">
        <v>0</v>
      </c>
      <c r="V57" s="37">
        <v>0</v>
      </c>
    </row>
    <row r="58" spans="1:22" hidden="1" x14ac:dyDescent="0.2">
      <c r="A58" s="36" t="s">
        <v>106</v>
      </c>
      <c r="B58" s="37">
        <v>0</v>
      </c>
      <c r="C58" s="37">
        <v>0</v>
      </c>
      <c r="D58" s="37">
        <v>0.10329999999999984</v>
      </c>
      <c r="E58" s="37">
        <v>0</v>
      </c>
      <c r="F58" s="37">
        <v>0</v>
      </c>
      <c r="G58" s="37">
        <v>0</v>
      </c>
      <c r="H58" s="37">
        <v>0.38300000000000001</v>
      </c>
      <c r="I58" s="37">
        <v>0.43199999999999994</v>
      </c>
      <c r="J58" s="37">
        <v>0.49999999999999989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0.1359999999999999</v>
      </c>
      <c r="R58" s="37">
        <v>0.16799999999999993</v>
      </c>
      <c r="S58" s="37">
        <v>0.31599999999999995</v>
      </c>
      <c r="T58" s="37">
        <v>0</v>
      </c>
      <c r="U58" s="37">
        <v>0</v>
      </c>
      <c r="V58" s="37">
        <v>0</v>
      </c>
    </row>
    <row r="59" spans="1:22" hidden="1" x14ac:dyDescent="0.2">
      <c r="A59" s="36" t="s">
        <v>75</v>
      </c>
      <c r="B59" s="41">
        <v>0.44600000000000006</v>
      </c>
      <c r="C59" s="41">
        <v>0.31100000000000005</v>
      </c>
      <c r="D59" s="41">
        <v>0.44030000000000002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7.2500000000000009E-2</v>
      </c>
      <c r="P59" s="37">
        <v>0.17</v>
      </c>
      <c r="Q59" s="37">
        <v>0.39999999999999991</v>
      </c>
      <c r="R59" s="37">
        <v>0.51200000000000001</v>
      </c>
      <c r="S59" s="37">
        <v>0.54999999999999993</v>
      </c>
      <c r="T59" s="37">
        <v>0</v>
      </c>
      <c r="U59" s="37">
        <v>0</v>
      </c>
      <c r="V59" s="37">
        <v>0</v>
      </c>
    </row>
    <row r="60" spans="1:22" hidden="1" x14ac:dyDescent="0.2">
      <c r="A60" s="36" t="s">
        <v>76</v>
      </c>
      <c r="B60" s="41">
        <v>0.374</v>
      </c>
      <c r="C60" s="41">
        <v>0.49099999999999999</v>
      </c>
      <c r="D60" s="41">
        <v>0.57980000000000009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0.28000000000000003</v>
      </c>
      <c r="R60" s="37">
        <v>0.376</v>
      </c>
      <c r="S60" s="37">
        <v>0.54999999999999993</v>
      </c>
      <c r="T60" s="37">
        <v>0</v>
      </c>
      <c r="U60" s="37">
        <v>0</v>
      </c>
      <c r="V60" s="37">
        <v>0</v>
      </c>
    </row>
    <row r="61" spans="1:22" hidden="1" x14ac:dyDescent="0.2">
      <c r="A61" s="36" t="s">
        <v>77</v>
      </c>
      <c r="B61" s="41">
        <v>0.374</v>
      </c>
      <c r="C61" s="41">
        <v>0.49099999999999999</v>
      </c>
      <c r="D61" s="41">
        <v>0.57980000000000009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0.28000000000000003</v>
      </c>
      <c r="R61" s="37">
        <v>0.376</v>
      </c>
      <c r="S61" s="37">
        <v>0.54999999999999993</v>
      </c>
      <c r="T61" s="37">
        <v>0</v>
      </c>
      <c r="U61" s="37">
        <v>0</v>
      </c>
      <c r="V61" s="37">
        <v>0</v>
      </c>
    </row>
    <row r="62" spans="1:22" hidden="1" x14ac:dyDescent="0.2">
      <c r="A62" s="36" t="s">
        <v>78</v>
      </c>
      <c r="B62" s="41">
        <v>0.46</v>
      </c>
      <c r="C62" s="41">
        <v>0.56299999999999994</v>
      </c>
      <c r="D62" s="41">
        <v>0.54259999999999997</v>
      </c>
      <c r="E62" s="37">
        <v>0</v>
      </c>
      <c r="F62" s="37">
        <v>0</v>
      </c>
      <c r="G62" s="37">
        <v>0</v>
      </c>
      <c r="H62" s="37">
        <v>0</v>
      </c>
      <c r="I62" s="37">
        <v>0.18000000000000005</v>
      </c>
      <c r="J62" s="37">
        <v>0.26</v>
      </c>
      <c r="K62" s="37">
        <v>0</v>
      </c>
      <c r="L62" s="37">
        <v>0</v>
      </c>
      <c r="M62" s="37">
        <v>0.22</v>
      </c>
      <c r="N62" s="37">
        <v>0</v>
      </c>
      <c r="O62" s="37">
        <v>6.3000000000000056E-2</v>
      </c>
      <c r="P62" s="37">
        <v>0.2</v>
      </c>
      <c r="Q62" s="37">
        <v>0.26400000000000001</v>
      </c>
      <c r="R62" s="37">
        <v>0.36799999999999999</v>
      </c>
      <c r="S62" s="37">
        <v>0.46899999999999997</v>
      </c>
      <c r="T62" s="37">
        <v>0</v>
      </c>
      <c r="U62" s="37">
        <v>0</v>
      </c>
      <c r="V62" s="37">
        <v>0</v>
      </c>
    </row>
    <row r="63" spans="1:22" hidden="1" x14ac:dyDescent="0.2">
      <c r="A63" s="36" t="s">
        <v>79</v>
      </c>
      <c r="B63" s="41">
        <v>0.46399999999999997</v>
      </c>
      <c r="C63" s="41">
        <v>0.56000000000000005</v>
      </c>
      <c r="D63" s="41">
        <v>0.54</v>
      </c>
      <c r="E63" s="37">
        <v>0</v>
      </c>
      <c r="F63" s="37">
        <v>0</v>
      </c>
      <c r="G63" s="37">
        <v>0</v>
      </c>
      <c r="H63" s="37">
        <v>0</v>
      </c>
      <c r="I63" s="37">
        <v>0.18000000000000005</v>
      </c>
      <c r="J63" s="37">
        <v>0.26</v>
      </c>
      <c r="K63" s="37">
        <v>0</v>
      </c>
      <c r="L63" s="37">
        <v>0</v>
      </c>
      <c r="M63" s="37">
        <v>0.22</v>
      </c>
      <c r="N63" s="37">
        <v>0</v>
      </c>
      <c r="O63" s="37">
        <v>6.3000000000000056E-2</v>
      </c>
      <c r="P63" s="37">
        <v>0.2</v>
      </c>
      <c r="Q63" s="37">
        <v>0.26400000000000001</v>
      </c>
      <c r="R63" s="37">
        <v>0.36799999999999999</v>
      </c>
      <c r="S63" s="37">
        <v>0.46899999999999997</v>
      </c>
      <c r="T63" s="37">
        <v>0</v>
      </c>
      <c r="U63" s="37">
        <v>0</v>
      </c>
      <c r="V63" s="37">
        <v>0</v>
      </c>
    </row>
    <row r="64" spans="1:22" hidden="1" x14ac:dyDescent="0.2">
      <c r="A64" s="36" t="s">
        <v>107</v>
      </c>
      <c r="B64" s="41">
        <v>0.32000000000000006</v>
      </c>
      <c r="C64" s="41">
        <v>0.55000000000000004</v>
      </c>
      <c r="D64" s="41">
        <v>0.62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0.29599999999999993</v>
      </c>
      <c r="R64" s="37">
        <v>0.40799999999999992</v>
      </c>
      <c r="S64" s="37">
        <v>0.50499999999999989</v>
      </c>
      <c r="T64" s="37">
        <v>0.28000000000000003</v>
      </c>
      <c r="U64" s="37">
        <v>0.28000000000000003</v>
      </c>
      <c r="V64" s="37">
        <v>0.27999999999999992</v>
      </c>
    </row>
    <row r="65" spans="1:22" hidden="1" x14ac:dyDescent="0.2">
      <c r="A65" s="36" t="s">
        <v>108</v>
      </c>
      <c r="B65" s="41">
        <v>0.32000000000000006</v>
      </c>
      <c r="C65" s="41">
        <v>0.55000000000000004</v>
      </c>
      <c r="D65" s="41">
        <v>0.62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0.29599999999999993</v>
      </c>
      <c r="R65" s="37">
        <v>0.40799999999999992</v>
      </c>
      <c r="S65" s="37">
        <v>0.50499999999999989</v>
      </c>
      <c r="T65" s="37">
        <v>0.28000000000000003</v>
      </c>
      <c r="U65" s="37">
        <v>0.28000000000000003</v>
      </c>
      <c r="V65" s="37">
        <v>0.27999999999999992</v>
      </c>
    </row>
  </sheetData>
  <autoFilter ref="A3:V65" xr:uid="{FD13A205-2915-40EE-A279-5D43590A9422}">
    <filterColumn colId="0">
      <filters>
        <filter val="RAJASTHAN - JAIPUR"/>
        <filter val="RAJASTHAN - JAIPUR SURRONDING"/>
        <filter val="RAJASTHAN - REST"/>
        <filter val="RAJASTHAN - UDAIPUR &amp; SURRONDING"/>
      </filters>
    </filterColumn>
  </autoFilter>
  <mergeCells count="7">
    <mergeCell ref="T2:V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FFF7-1085-42AC-9CBA-50BA9743EF1E}">
  <dimension ref="A1:X42"/>
  <sheetViews>
    <sheetView workbookViewId="0">
      <selection activeCell="A3" sqref="A3"/>
    </sheetView>
  </sheetViews>
  <sheetFormatPr defaultColWidth="9.140625" defaultRowHeight="11.25" x14ac:dyDescent="0.2"/>
  <cols>
    <col min="1" max="1" width="9.140625" style="9"/>
    <col min="2" max="2" width="52.5703125" style="9" bestFit="1" customWidth="1"/>
    <col min="3" max="3" width="49.28515625" style="9" bestFit="1" customWidth="1"/>
    <col min="4" max="4" width="3.85546875" style="9" bestFit="1" customWidth="1"/>
    <col min="5" max="5" width="8.5703125" style="9" bestFit="1" customWidth="1"/>
    <col min="6" max="6" width="10.28515625" style="9" bestFit="1" customWidth="1"/>
    <col min="7" max="7" width="3.85546875" style="9" bestFit="1" customWidth="1"/>
    <col min="8" max="8" width="8.5703125" style="9" bestFit="1" customWidth="1"/>
    <col min="9" max="9" width="10.28515625" style="9" bestFit="1" customWidth="1"/>
    <col min="10" max="10" width="3.85546875" style="9" bestFit="1" customWidth="1"/>
    <col min="11" max="11" width="8.5703125" style="9" bestFit="1" customWidth="1"/>
    <col min="12" max="12" width="10.28515625" style="9" bestFit="1" customWidth="1"/>
    <col min="13" max="13" width="3.85546875" style="9" bestFit="1" customWidth="1"/>
    <col min="14" max="14" width="8.5703125" style="9" bestFit="1" customWidth="1"/>
    <col min="15" max="15" width="10.28515625" style="9" bestFit="1" customWidth="1"/>
    <col min="16" max="16" width="3.85546875" style="9" bestFit="1" customWidth="1"/>
    <col min="17" max="17" width="8.5703125" style="9" bestFit="1" customWidth="1"/>
    <col min="18" max="18" width="10.28515625" style="9" bestFit="1" customWidth="1"/>
    <col min="19" max="19" width="3.85546875" style="9" bestFit="1" customWidth="1"/>
    <col min="20" max="20" width="8.5703125" style="9" bestFit="1" customWidth="1"/>
    <col min="21" max="21" width="10.28515625" style="9" bestFit="1" customWidth="1"/>
    <col min="22" max="22" width="3.85546875" style="9" bestFit="1" customWidth="1"/>
    <col min="23" max="23" width="8.5703125" style="9" bestFit="1" customWidth="1"/>
    <col min="24" max="24" width="10.28515625" style="9" bestFit="1" customWidth="1"/>
    <col min="25" max="16384" width="9.140625" style="9"/>
  </cols>
  <sheetData>
    <row r="1" spans="1:24" x14ac:dyDescent="0.2">
      <c r="B1" s="109" t="s">
        <v>121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 x14ac:dyDescent="0.2">
      <c r="B2" s="139" t="s">
        <v>38</v>
      </c>
      <c r="C2" s="139" t="s">
        <v>39</v>
      </c>
      <c r="D2" s="109" t="s">
        <v>40</v>
      </c>
      <c r="E2" s="109"/>
      <c r="F2" s="109"/>
      <c r="G2" s="109" t="s">
        <v>41</v>
      </c>
      <c r="H2" s="109"/>
      <c r="I2" s="109"/>
      <c r="J2" s="109" t="s">
        <v>42</v>
      </c>
      <c r="K2" s="109"/>
      <c r="L2" s="109"/>
      <c r="M2" s="109" t="s">
        <v>43</v>
      </c>
      <c r="N2" s="109"/>
      <c r="O2" s="109"/>
      <c r="P2" s="109" t="s">
        <v>44</v>
      </c>
      <c r="Q2" s="109"/>
      <c r="R2" s="109"/>
      <c r="S2" s="109" t="s">
        <v>45</v>
      </c>
      <c r="T2" s="109"/>
      <c r="U2" s="109"/>
      <c r="V2" s="109" t="s">
        <v>46</v>
      </c>
      <c r="W2" s="109"/>
      <c r="X2" s="109"/>
    </row>
    <row r="3" spans="1:24" x14ac:dyDescent="0.2">
      <c r="B3" s="139"/>
      <c r="C3" s="139"/>
      <c r="D3" s="4" t="s">
        <v>47</v>
      </c>
      <c r="E3" s="4" t="s">
        <v>48</v>
      </c>
      <c r="F3" s="4" t="s">
        <v>49</v>
      </c>
      <c r="G3" s="4" t="s">
        <v>47</v>
      </c>
      <c r="H3" s="4" t="s">
        <v>48</v>
      </c>
      <c r="I3" s="4" t="s">
        <v>49</v>
      </c>
      <c r="J3" s="4" t="s">
        <v>47</v>
      </c>
      <c r="K3" s="4" t="s">
        <v>48</v>
      </c>
      <c r="L3" s="4" t="s">
        <v>49</v>
      </c>
      <c r="M3" s="4" t="s">
        <v>47</v>
      </c>
      <c r="N3" s="4" t="s">
        <v>48</v>
      </c>
      <c r="O3" s="4" t="s">
        <v>49</v>
      </c>
      <c r="P3" s="4" t="s">
        <v>47</v>
      </c>
      <c r="Q3" s="4" t="s">
        <v>48</v>
      </c>
      <c r="R3" s="4" t="s">
        <v>49</v>
      </c>
      <c r="S3" s="4" t="s">
        <v>47</v>
      </c>
      <c r="T3" s="4" t="s">
        <v>48</v>
      </c>
      <c r="U3" s="4" t="s">
        <v>49</v>
      </c>
      <c r="V3" s="4" t="s">
        <v>47</v>
      </c>
      <c r="W3" s="4" t="s">
        <v>48</v>
      </c>
      <c r="X3" s="4" t="s">
        <v>49</v>
      </c>
    </row>
    <row r="4" spans="1:24" x14ac:dyDescent="0.2">
      <c r="A4" s="9" t="str">
        <f>VLOOKUP(B4,'CV COMP_R'!$A:$A,1,0)</f>
        <v>ANDHRA PRADESH - KRISHNA(VIJAYWADA)</v>
      </c>
      <c r="B4" s="5" t="s">
        <v>7</v>
      </c>
      <c r="C4" s="5" t="s">
        <v>50</v>
      </c>
      <c r="D4" s="5">
        <v>0.30699999999999994</v>
      </c>
      <c r="E4" s="5">
        <v>0.41499999999999992</v>
      </c>
      <c r="F4" s="5">
        <v>0.47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0.31199999999999994</v>
      </c>
      <c r="T4" s="5">
        <v>0.43199999999999994</v>
      </c>
      <c r="U4" s="5">
        <v>0.52299999999999991</v>
      </c>
      <c r="V4" s="5">
        <v>0.28000000000000003</v>
      </c>
      <c r="W4" s="5">
        <v>0.28000000000000003</v>
      </c>
      <c r="X4" s="5">
        <v>0.27999999999999992</v>
      </c>
    </row>
    <row r="5" spans="1:24" x14ac:dyDescent="0.2">
      <c r="A5" s="9" t="str">
        <f>VLOOKUP(B5,'CV COMP_R'!$A:$A,1,0)</f>
        <v>ANDHRA PRADESH - REST</v>
      </c>
      <c r="B5" s="5" t="s">
        <v>9</v>
      </c>
      <c r="C5" s="5" t="s">
        <v>50</v>
      </c>
      <c r="D5" s="5">
        <v>0.30699999999999994</v>
      </c>
      <c r="E5" s="5">
        <v>0.41499999999999992</v>
      </c>
      <c r="F5" s="5">
        <v>0.47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0.31199999999999994</v>
      </c>
      <c r="T5" s="5">
        <v>0.43199999999999994</v>
      </c>
      <c r="U5" s="5">
        <v>0.52299999999999991</v>
      </c>
      <c r="V5" s="5">
        <v>0.28000000000000003</v>
      </c>
      <c r="W5" s="5">
        <v>0.28000000000000003</v>
      </c>
      <c r="X5" s="5">
        <v>0.27999999999999992</v>
      </c>
    </row>
    <row r="6" spans="1:24" x14ac:dyDescent="0.2">
      <c r="A6" s="9" t="str">
        <f>VLOOKUP(B6,'CV COMP_R'!$A:$A,1,0)</f>
        <v>ANDHRA PRADESH - VISAKHAPATNAM</v>
      </c>
      <c r="B6" s="5" t="s">
        <v>10</v>
      </c>
      <c r="C6" s="5" t="s">
        <v>50</v>
      </c>
      <c r="D6" s="5">
        <v>0.30699999999999994</v>
      </c>
      <c r="E6" s="5">
        <v>0.41499999999999992</v>
      </c>
      <c r="F6" s="5">
        <v>0.47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9.9999999999999867E-2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0.31199999999999994</v>
      </c>
      <c r="T6" s="5">
        <v>0.43199999999999994</v>
      </c>
      <c r="U6" s="5">
        <v>0.52299999999999991</v>
      </c>
      <c r="V6" s="5">
        <v>0.28000000000000003</v>
      </c>
      <c r="W6" s="5">
        <v>0.28000000000000003</v>
      </c>
      <c r="X6" s="5">
        <v>0.27999999999999992</v>
      </c>
    </row>
    <row r="7" spans="1:24" x14ac:dyDescent="0.2">
      <c r="A7" s="9" t="str">
        <f>VLOOKUP(B7,'CV COMP_R'!$A:$A,1,0)</f>
        <v>KARNATAKA - BANGALORE</v>
      </c>
      <c r="B7" s="5" t="s">
        <v>11</v>
      </c>
      <c r="C7" s="5" t="s">
        <v>11</v>
      </c>
      <c r="D7" s="5">
        <v>0.28000000000000003</v>
      </c>
      <c r="E7" s="5">
        <v>0.42</v>
      </c>
      <c r="F7" s="5">
        <v>0.49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0.16799999999999993</v>
      </c>
      <c r="U7" s="5">
        <v>0.33399999999999996</v>
      </c>
      <c r="V7" s="5">
        <v>0</v>
      </c>
      <c r="W7" s="5">
        <v>0</v>
      </c>
      <c r="X7" s="5">
        <v>0</v>
      </c>
    </row>
    <row r="8" spans="1:24" x14ac:dyDescent="0.2">
      <c r="A8" s="9" t="str">
        <f>VLOOKUP(B8,'CV COMP_R'!$A:$A,1,0)</f>
        <v>KARNATAKA - BANGALORE SURROUNDING</v>
      </c>
      <c r="B8" s="5" t="s">
        <v>12</v>
      </c>
      <c r="C8" s="5" t="s">
        <v>11</v>
      </c>
      <c r="D8" s="5">
        <v>9.9999999999999978E-2</v>
      </c>
      <c r="E8" s="5">
        <v>0.3</v>
      </c>
      <c r="F8" s="5">
        <v>0.42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0.1359999999999999</v>
      </c>
      <c r="T8" s="5">
        <v>0.11199999999999988</v>
      </c>
      <c r="U8" s="5">
        <v>0.27100000000000002</v>
      </c>
      <c r="V8" s="5">
        <v>0</v>
      </c>
      <c r="W8" s="5">
        <v>0</v>
      </c>
      <c r="X8" s="5">
        <v>0</v>
      </c>
    </row>
    <row r="9" spans="1:24" x14ac:dyDescent="0.2">
      <c r="A9" s="9" t="str">
        <f>VLOOKUP(B9,'CV COMP_R'!$A:$A,1,0)</f>
        <v>KARNATAKA - REST</v>
      </c>
      <c r="B9" s="5" t="s">
        <v>13</v>
      </c>
      <c r="C9" s="5" t="s">
        <v>13</v>
      </c>
      <c r="D9" s="5">
        <v>9.9999999999999978E-2</v>
      </c>
      <c r="E9" s="5">
        <v>0.3</v>
      </c>
      <c r="F9" s="5">
        <v>0.42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0.1359999999999999</v>
      </c>
      <c r="T9" s="5">
        <v>0.11199999999999988</v>
      </c>
      <c r="U9" s="5">
        <v>0.27100000000000002</v>
      </c>
      <c r="V9" s="5">
        <v>0</v>
      </c>
      <c r="W9" s="5">
        <v>0</v>
      </c>
      <c r="X9" s="5">
        <v>0</v>
      </c>
    </row>
    <row r="10" spans="1:24" x14ac:dyDescent="0.2">
      <c r="A10" s="9" t="str">
        <f>VLOOKUP(B10,'CV COMP_R'!$A:$A,1,0)</f>
        <v>TELANGANA - HYDERABAD &amp; SURRONDING</v>
      </c>
      <c r="B10" s="5" t="s">
        <v>19</v>
      </c>
      <c r="C10" s="5" t="s">
        <v>51</v>
      </c>
      <c r="D10" s="5">
        <v>0.26200000000000001</v>
      </c>
      <c r="E10" s="5">
        <v>0.34299999999999997</v>
      </c>
      <c r="F10" s="5">
        <v>0.50319999999999998</v>
      </c>
      <c r="G10" s="5">
        <v>0</v>
      </c>
      <c r="H10" s="5">
        <v>0</v>
      </c>
      <c r="I10" s="5">
        <v>0</v>
      </c>
      <c r="J10" s="5">
        <v>0</v>
      </c>
      <c r="K10" s="5">
        <v>0.20100000000000007</v>
      </c>
      <c r="L10" s="5">
        <v>0.28399999999999992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0.376</v>
      </c>
      <c r="T10" s="5">
        <v>0.40799999999999992</v>
      </c>
      <c r="U10" s="5">
        <v>0.51400000000000001</v>
      </c>
      <c r="V10" s="5">
        <v>0</v>
      </c>
      <c r="W10" s="5">
        <v>0</v>
      </c>
      <c r="X10" s="5">
        <v>0</v>
      </c>
    </row>
    <row r="11" spans="1:24" x14ac:dyDescent="0.2">
      <c r="A11" s="9" t="str">
        <f>VLOOKUP(B11,'CV COMP_R'!$A:$A,1,0)</f>
        <v>TELANGANA - REST</v>
      </c>
      <c r="B11" s="5" t="s">
        <v>20</v>
      </c>
      <c r="C11" s="5" t="s">
        <v>51</v>
      </c>
      <c r="D11" s="5">
        <v>0.26200000000000001</v>
      </c>
      <c r="E11" s="5">
        <v>0.34299999999999997</v>
      </c>
      <c r="F11" s="5">
        <v>0.50319999999999998</v>
      </c>
      <c r="G11" s="33">
        <v>0</v>
      </c>
      <c r="H11" s="33">
        <v>0</v>
      </c>
      <c r="I11" s="33">
        <v>0.3</v>
      </c>
      <c r="J11" s="5">
        <v>0</v>
      </c>
      <c r="K11" s="5">
        <v>0.20100000000000007</v>
      </c>
      <c r="L11" s="5">
        <v>0.28399999999999992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0.376</v>
      </c>
      <c r="T11" s="5">
        <v>0.40799999999999992</v>
      </c>
      <c r="U11" s="5">
        <v>0.51400000000000001</v>
      </c>
      <c r="V11" s="5">
        <v>0</v>
      </c>
      <c r="W11" s="5">
        <v>0</v>
      </c>
      <c r="X11" s="5">
        <v>0</v>
      </c>
    </row>
    <row r="12" spans="1:24" x14ac:dyDescent="0.2">
      <c r="A12" s="9" t="str">
        <f>VLOOKUP(B12,'CV COMP_R'!$A:$A,1,0)</f>
        <v>GOA</v>
      </c>
      <c r="B12" s="5" t="s">
        <v>52</v>
      </c>
      <c r="C12" s="5" t="s">
        <v>52</v>
      </c>
      <c r="D12" s="5">
        <v>0.63100000000000001</v>
      </c>
      <c r="E12" s="5">
        <v>0.65</v>
      </c>
      <c r="F12" s="5">
        <v>0.65</v>
      </c>
      <c r="G12" s="34">
        <v>0</v>
      </c>
      <c r="H12" s="34">
        <v>0</v>
      </c>
      <c r="I12" s="34">
        <v>0</v>
      </c>
      <c r="J12" s="5">
        <v>0.38300000000000001</v>
      </c>
      <c r="K12" s="5">
        <v>0.39700000000000002</v>
      </c>
      <c r="L12" s="5">
        <v>0.42799999999999994</v>
      </c>
      <c r="M12" s="5">
        <v>0.28150000000000008</v>
      </c>
      <c r="N12" s="5">
        <v>0.39549999999999996</v>
      </c>
      <c r="O12" s="5">
        <v>0.3</v>
      </c>
      <c r="P12" s="5">
        <v>0.24350000000000005</v>
      </c>
      <c r="Q12" s="5">
        <v>0.41449999999999998</v>
      </c>
      <c r="R12" s="5">
        <v>0.34</v>
      </c>
      <c r="S12" s="5">
        <v>0.56000000000000005</v>
      </c>
      <c r="T12" s="5">
        <v>0.51999999999999991</v>
      </c>
      <c r="U12" s="5">
        <v>0.54999999999999993</v>
      </c>
      <c r="V12" s="5">
        <v>0</v>
      </c>
      <c r="W12" s="5">
        <v>0</v>
      </c>
      <c r="X12" s="5">
        <v>0</v>
      </c>
    </row>
    <row r="13" spans="1:24" x14ac:dyDescent="0.2">
      <c r="A13" s="9" t="str">
        <f>VLOOKUP(B13,'CV COMP_R'!$A:$A,1,0)</f>
        <v>MADHYA PRADESH - BHOPAL &amp; INDORE</v>
      </c>
      <c r="B13" s="5" t="s">
        <v>53</v>
      </c>
      <c r="C13" s="5" t="s">
        <v>54</v>
      </c>
      <c r="D13" s="5">
        <v>0.21699999999999997</v>
      </c>
      <c r="E13" s="5">
        <v>0.37</v>
      </c>
      <c r="F13" s="5">
        <v>0.35439999999999994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0.26400000000000001</v>
      </c>
      <c r="U13" s="5">
        <v>0.379</v>
      </c>
      <c r="V13" s="5">
        <v>0</v>
      </c>
      <c r="W13" s="5">
        <v>0</v>
      </c>
      <c r="X13" s="5">
        <v>0</v>
      </c>
    </row>
    <row r="14" spans="1:24" x14ac:dyDescent="0.2">
      <c r="A14" s="9" t="str">
        <f>VLOOKUP(B14,'CV COMP_R'!$A:$A,1,0)</f>
        <v>MADHYA PRADESH - GWALIOR &amp; JABALPUR</v>
      </c>
      <c r="B14" s="5" t="s">
        <v>55</v>
      </c>
      <c r="C14" s="5" t="s">
        <v>54</v>
      </c>
      <c r="D14" s="5">
        <v>0.21699999999999997</v>
      </c>
      <c r="E14" s="5">
        <v>0.37</v>
      </c>
      <c r="F14" s="5">
        <v>0.35439999999999994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0.26400000000000001</v>
      </c>
      <c r="U14" s="5">
        <v>0.379</v>
      </c>
      <c r="V14" s="5">
        <v>0</v>
      </c>
      <c r="W14" s="5">
        <v>0</v>
      </c>
      <c r="X14" s="5">
        <v>0</v>
      </c>
    </row>
    <row r="15" spans="1:24" x14ac:dyDescent="0.2">
      <c r="A15" s="9" t="str">
        <f>VLOOKUP(B15,'CV COMP_R'!$A:$A,1,0)</f>
        <v>MADHYA PRADESH - REST</v>
      </c>
      <c r="B15" s="5" t="s">
        <v>56</v>
      </c>
      <c r="C15" s="5" t="s">
        <v>54</v>
      </c>
      <c r="D15" s="5">
        <v>0.21699999999999997</v>
      </c>
      <c r="E15" s="5">
        <v>0.37</v>
      </c>
      <c r="F15" s="5">
        <v>0.35439999999999994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0.26400000000000001</v>
      </c>
      <c r="U15" s="5">
        <v>0.379</v>
      </c>
      <c r="V15" s="5">
        <v>0</v>
      </c>
      <c r="W15" s="5">
        <v>0</v>
      </c>
      <c r="X15" s="5">
        <v>0</v>
      </c>
    </row>
    <row r="16" spans="1:24" x14ac:dyDescent="0.2">
      <c r="A16" s="9" t="str">
        <f>VLOOKUP(B16,'CV COMP_R'!$A:$A,1,0)</f>
        <v>MAHARASHTRA - MUMBAI</v>
      </c>
      <c r="B16" s="5" t="s">
        <v>57</v>
      </c>
      <c r="C16" s="5" t="s">
        <v>58</v>
      </c>
      <c r="D16" s="5">
        <v>0.56799999999999995</v>
      </c>
      <c r="E16" s="5">
        <v>0.62199999999999989</v>
      </c>
      <c r="F16" s="5">
        <v>0.66</v>
      </c>
      <c r="G16" s="33">
        <v>0</v>
      </c>
      <c r="H16" s="33">
        <v>0</v>
      </c>
      <c r="I16" s="33">
        <v>0.4</v>
      </c>
      <c r="J16" s="5">
        <v>0.23599999999999999</v>
      </c>
      <c r="K16" s="5">
        <v>0.32000000000000006</v>
      </c>
      <c r="L16" s="5">
        <v>0.41999999999999993</v>
      </c>
      <c r="M16" s="5">
        <v>0</v>
      </c>
      <c r="N16" s="5">
        <v>0.22</v>
      </c>
      <c r="O16" s="5">
        <v>0.32</v>
      </c>
      <c r="P16" s="5">
        <v>8.2000000000000073E-2</v>
      </c>
      <c r="Q16" s="5">
        <v>0.22</v>
      </c>
      <c r="R16" s="5">
        <v>0.3</v>
      </c>
      <c r="S16" s="5">
        <v>0.51200000000000001</v>
      </c>
      <c r="T16" s="5">
        <v>0.51200000000000001</v>
      </c>
      <c r="U16" s="5">
        <v>0.54999999999999993</v>
      </c>
      <c r="V16" s="5">
        <v>0.50499999999999989</v>
      </c>
      <c r="W16" s="5">
        <v>0.50499999999999989</v>
      </c>
      <c r="X16" s="5">
        <v>0.51249999999999996</v>
      </c>
    </row>
    <row r="17" spans="1:24" x14ac:dyDescent="0.2">
      <c r="A17" s="9" t="str">
        <f>VLOOKUP(B17,'CV COMP_R'!$A:$A,1,0)</f>
        <v>MAHARASHTRA - NAGPUR</v>
      </c>
      <c r="B17" s="5" t="s">
        <v>59</v>
      </c>
      <c r="C17" s="5" t="s">
        <v>60</v>
      </c>
      <c r="D17" s="5">
        <v>0.36099999999999999</v>
      </c>
      <c r="E17" s="5">
        <v>0.48699999999999999</v>
      </c>
      <c r="F17" s="5">
        <v>0.58689999999999998</v>
      </c>
      <c r="G17" s="33">
        <v>0</v>
      </c>
      <c r="H17" s="33">
        <v>0</v>
      </c>
      <c r="I17" s="33">
        <v>0.4</v>
      </c>
      <c r="J17" s="5">
        <v>0</v>
      </c>
      <c r="K17" s="5">
        <v>0.18000000000000005</v>
      </c>
      <c r="L17" s="5">
        <v>0.28399999999999992</v>
      </c>
      <c r="M17" s="5">
        <v>0</v>
      </c>
      <c r="N17" s="35">
        <v>0.23499999999999999</v>
      </c>
      <c r="O17" s="35">
        <v>0.28000000000000003</v>
      </c>
      <c r="P17" s="5">
        <v>8.2000000000000073E-2</v>
      </c>
      <c r="Q17" s="5">
        <v>0.24</v>
      </c>
      <c r="R17" s="5">
        <v>0.28000000000000003</v>
      </c>
      <c r="S17" s="5">
        <v>0.51200000000000001</v>
      </c>
      <c r="T17" s="5">
        <v>0.51200000000000001</v>
      </c>
      <c r="U17" s="5">
        <v>0.54999999999999993</v>
      </c>
      <c r="V17" s="5">
        <v>0.50499999999999989</v>
      </c>
      <c r="W17" s="5">
        <v>0.50499999999999989</v>
      </c>
      <c r="X17" s="5">
        <v>0.51249999999999996</v>
      </c>
    </row>
    <row r="18" spans="1:24" x14ac:dyDescent="0.2">
      <c r="A18" s="9" t="str">
        <f>VLOOKUP(B18,'CV COMP_R'!$A:$A,1,0)</f>
        <v>MAHARASHTRA - PUNE</v>
      </c>
      <c r="B18" s="5" t="s">
        <v>61</v>
      </c>
      <c r="C18" s="5" t="s">
        <v>58</v>
      </c>
      <c r="D18" s="5">
        <v>0.56799999999999995</v>
      </c>
      <c r="E18" s="5">
        <v>0.62199999999999989</v>
      </c>
      <c r="F18" s="5">
        <v>0.66</v>
      </c>
      <c r="G18" s="33">
        <v>0</v>
      </c>
      <c r="H18" s="33">
        <v>0</v>
      </c>
      <c r="I18" s="33">
        <v>0.4</v>
      </c>
      <c r="J18" s="5">
        <v>0.23599999999999999</v>
      </c>
      <c r="K18" s="5">
        <v>0.32000000000000006</v>
      </c>
      <c r="L18" s="5">
        <v>0.41999999999999993</v>
      </c>
      <c r="M18" s="5">
        <v>0</v>
      </c>
      <c r="N18" s="5">
        <v>0.22</v>
      </c>
      <c r="O18" s="5">
        <v>0.32</v>
      </c>
      <c r="P18" s="5">
        <v>8.2000000000000073E-2</v>
      </c>
      <c r="Q18" s="5">
        <v>0.22</v>
      </c>
      <c r="R18" s="5">
        <v>0.3</v>
      </c>
      <c r="S18" s="5">
        <v>0.51200000000000001</v>
      </c>
      <c r="T18" s="5">
        <v>0.51200000000000001</v>
      </c>
      <c r="U18" s="5">
        <v>0.54999999999999993</v>
      </c>
      <c r="V18" s="5">
        <v>0.50499999999999989</v>
      </c>
      <c r="W18" s="5">
        <v>0.50499999999999989</v>
      </c>
      <c r="X18" s="5">
        <v>0.51249999999999996</v>
      </c>
    </row>
    <row r="19" spans="1:24" x14ac:dyDescent="0.2">
      <c r="A19" s="9" t="str">
        <f>VLOOKUP(B19,'CV COMP_R'!$A:$A,1,0)</f>
        <v>MAHARASHTRA - REST</v>
      </c>
      <c r="B19" s="5" t="s">
        <v>60</v>
      </c>
      <c r="C19" s="5" t="s">
        <v>60</v>
      </c>
      <c r="D19" s="5">
        <v>0.36099999999999999</v>
      </c>
      <c r="E19" s="5">
        <v>0.48699999999999999</v>
      </c>
      <c r="F19" s="5">
        <v>0.58689999999999998</v>
      </c>
      <c r="G19" s="33">
        <v>0</v>
      </c>
      <c r="H19" s="33">
        <v>0</v>
      </c>
      <c r="I19" s="33">
        <v>0.4</v>
      </c>
      <c r="J19" s="5">
        <v>0</v>
      </c>
      <c r="K19" s="5">
        <v>0.18000000000000005</v>
      </c>
      <c r="L19" s="5">
        <v>0.28399999999999992</v>
      </c>
      <c r="M19" s="5">
        <v>0</v>
      </c>
      <c r="N19" s="5">
        <v>0.21</v>
      </c>
      <c r="O19" s="5">
        <v>0.28000000000000003</v>
      </c>
      <c r="P19" s="5">
        <v>8.2000000000000073E-2</v>
      </c>
      <c r="Q19" s="5">
        <v>0.21</v>
      </c>
      <c r="R19" s="5">
        <v>0.28000000000000003</v>
      </c>
      <c r="S19" s="5">
        <v>0.51200000000000001</v>
      </c>
      <c r="T19" s="5">
        <v>0.51200000000000001</v>
      </c>
      <c r="U19" s="5">
        <v>0.54999999999999993</v>
      </c>
      <c r="V19" s="5">
        <v>0.50499999999999989</v>
      </c>
      <c r="W19" s="5">
        <v>0.50499999999999989</v>
      </c>
      <c r="X19" s="5">
        <v>0.51249999999999996</v>
      </c>
    </row>
    <row r="20" spans="1:24" x14ac:dyDescent="0.2">
      <c r="A20" s="9" t="str">
        <f>VLOOKUP(B20,'CV COMP_R'!$A:$A,1,0)</f>
        <v>CHANDIGARH(TRICITY)</v>
      </c>
      <c r="B20" s="5" t="s">
        <v>62</v>
      </c>
      <c r="C20" s="5" t="s">
        <v>80</v>
      </c>
      <c r="D20" s="5">
        <v>0.37</v>
      </c>
      <c r="E20" s="5">
        <v>0.44199999999999995</v>
      </c>
      <c r="F20" s="5">
        <v>0.53109999999999991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0.29199999999999993</v>
      </c>
      <c r="M20" s="5">
        <v>0</v>
      </c>
      <c r="N20" s="5">
        <v>0</v>
      </c>
      <c r="O20" s="5">
        <v>8.5800000000000098E-2</v>
      </c>
      <c r="P20" s="5">
        <v>0</v>
      </c>
      <c r="Q20" s="5">
        <v>0</v>
      </c>
      <c r="R20" s="5">
        <v>0</v>
      </c>
      <c r="S20" s="5">
        <v>0.32799999999999996</v>
      </c>
      <c r="T20" s="5">
        <v>0.40799999999999992</v>
      </c>
      <c r="U20" s="5">
        <v>0.50499999999999989</v>
      </c>
      <c r="V20" s="5">
        <v>0</v>
      </c>
      <c r="W20" s="5">
        <v>0</v>
      </c>
      <c r="X20" s="5">
        <v>0</v>
      </c>
    </row>
    <row r="21" spans="1:24" x14ac:dyDescent="0.2">
      <c r="A21" s="9" t="str">
        <f>VLOOKUP(B21,'CV COMP_R'!$A:$A,1,0)</f>
        <v>DELHI - NCR</v>
      </c>
      <c r="B21" s="5" t="s">
        <v>63</v>
      </c>
      <c r="C21" s="5" t="s">
        <v>81</v>
      </c>
      <c r="D21" s="5">
        <v>0.30699999999999994</v>
      </c>
      <c r="E21" s="5">
        <v>0.43299999999999994</v>
      </c>
      <c r="F21" s="5">
        <v>0.51249999999999996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0.51200000000000001</v>
      </c>
      <c r="T21" s="5">
        <v>0.55000000000000004</v>
      </c>
      <c r="U21" s="5">
        <v>0.61</v>
      </c>
      <c r="V21" s="5">
        <v>0</v>
      </c>
      <c r="W21" s="5">
        <v>0</v>
      </c>
      <c r="X21" s="5">
        <v>0</v>
      </c>
    </row>
    <row r="22" spans="1:24" x14ac:dyDescent="0.2">
      <c r="A22" s="9" t="str">
        <f>VLOOKUP(B22,'CV COMP_R'!$A:$A,1,0)</f>
        <v>HIMACHAL PRADESH - BILASPUR, MANDI, SOLAN, SHIMLA &amp; MANALI</v>
      </c>
      <c r="B22" s="5" t="s">
        <v>65</v>
      </c>
      <c r="C22" s="5" t="s">
        <v>65</v>
      </c>
      <c r="D22" s="5">
        <v>0.44199999999999995</v>
      </c>
      <c r="E22" s="5">
        <v>0.54</v>
      </c>
      <c r="F22" s="5">
        <v>0.54</v>
      </c>
      <c r="G22" s="5">
        <v>0</v>
      </c>
      <c r="H22" s="5">
        <v>0</v>
      </c>
      <c r="I22" s="5">
        <v>0</v>
      </c>
      <c r="J22" s="5">
        <v>0</v>
      </c>
      <c r="K22" s="5">
        <v>0.13100000000000001</v>
      </c>
      <c r="L22" s="5">
        <v>0.24399999999999999</v>
      </c>
      <c r="M22" s="5">
        <v>0.10100000000000009</v>
      </c>
      <c r="N22" s="5">
        <v>0.21500000000000008</v>
      </c>
      <c r="O22" s="5">
        <v>0.28999999999999998</v>
      </c>
      <c r="P22" s="5">
        <v>5.3499999999999992E-2</v>
      </c>
      <c r="Q22" s="5">
        <v>0.19600000000000006</v>
      </c>
      <c r="R22" s="5">
        <v>0.31</v>
      </c>
      <c r="S22" s="5">
        <v>0.40799999999999992</v>
      </c>
      <c r="T22" s="5">
        <v>0.47199999999999998</v>
      </c>
      <c r="U22" s="5">
        <v>0.54999999999999993</v>
      </c>
      <c r="V22" s="5">
        <v>0</v>
      </c>
      <c r="W22" s="5">
        <v>0</v>
      </c>
      <c r="X22" s="5">
        <v>0</v>
      </c>
    </row>
    <row r="23" spans="1:24" x14ac:dyDescent="0.2">
      <c r="A23" s="9" t="str">
        <f>VLOOKUP(B23,'CV COMP_R'!$A:$A,1,0)</f>
        <v>HIMACHAL PRADESH - REST</v>
      </c>
      <c r="B23" s="5" t="s">
        <v>66</v>
      </c>
      <c r="C23" s="5" t="s">
        <v>66</v>
      </c>
      <c r="D23" s="5">
        <v>0.43299999999999994</v>
      </c>
      <c r="E23" s="5">
        <v>0.54</v>
      </c>
      <c r="F23" s="5">
        <v>0.54</v>
      </c>
      <c r="G23" s="5">
        <v>0</v>
      </c>
      <c r="H23" s="5">
        <v>0</v>
      </c>
      <c r="I23" s="5">
        <v>0</v>
      </c>
      <c r="J23" s="5">
        <v>0.18000000000000005</v>
      </c>
      <c r="K23" s="5">
        <v>0.26400000000000001</v>
      </c>
      <c r="L23" s="5">
        <v>0.36399999999999999</v>
      </c>
      <c r="M23" s="5">
        <v>0.10100000000000009</v>
      </c>
      <c r="N23" s="5">
        <v>0.17700000000000005</v>
      </c>
      <c r="O23" s="5">
        <v>0.24</v>
      </c>
      <c r="P23" s="5">
        <v>0</v>
      </c>
      <c r="Q23" s="5">
        <v>0.19600000000000006</v>
      </c>
      <c r="R23" s="5">
        <v>0.31859999999999999</v>
      </c>
      <c r="S23" s="5">
        <v>0.34399999999999997</v>
      </c>
      <c r="T23" s="5">
        <v>0.40799999999999992</v>
      </c>
      <c r="U23" s="5">
        <v>0.50499999999999989</v>
      </c>
      <c r="V23" s="5">
        <v>0</v>
      </c>
      <c r="W23" s="5">
        <v>0</v>
      </c>
      <c r="X23" s="5">
        <v>0</v>
      </c>
    </row>
    <row r="24" spans="1:24" x14ac:dyDescent="0.2">
      <c r="A24" s="9" t="str">
        <f>VLOOKUP(B24,'CV COMP_R'!$A:$A,1,0)</f>
        <v>JAMMU &amp; KASHMIR - JAMMU</v>
      </c>
      <c r="B24" s="5" t="s">
        <v>67</v>
      </c>
      <c r="C24" s="5" t="s">
        <v>82</v>
      </c>
      <c r="D24" s="5">
        <v>0.54099999999999993</v>
      </c>
      <c r="E24" s="5">
        <v>0.6</v>
      </c>
      <c r="F24" s="5">
        <v>0.6</v>
      </c>
      <c r="G24" s="5">
        <v>0</v>
      </c>
      <c r="H24" s="5">
        <v>0</v>
      </c>
      <c r="I24" s="5">
        <v>0</v>
      </c>
      <c r="J24" s="5">
        <v>0.21500000000000008</v>
      </c>
      <c r="K24" s="5">
        <v>0.26400000000000001</v>
      </c>
      <c r="L24" s="5">
        <v>0.37999999999999989</v>
      </c>
      <c r="M24" s="5">
        <v>0</v>
      </c>
      <c r="N24" s="5">
        <v>0.10100000000000009</v>
      </c>
      <c r="O24" s="5">
        <v>0.24</v>
      </c>
      <c r="P24" s="5">
        <v>0</v>
      </c>
      <c r="Q24" s="5">
        <v>0.23399999999999999</v>
      </c>
      <c r="R24" s="5">
        <v>0.26039999999999996</v>
      </c>
      <c r="S24" s="5">
        <v>0</v>
      </c>
      <c r="T24" s="5">
        <v>0.11999999999999988</v>
      </c>
      <c r="U24" s="5">
        <v>0.28000000000000003</v>
      </c>
      <c r="V24" s="5">
        <v>0</v>
      </c>
      <c r="W24" s="5">
        <v>0</v>
      </c>
      <c r="X24" s="5">
        <v>0</v>
      </c>
    </row>
    <row r="25" spans="1:24" x14ac:dyDescent="0.2">
      <c r="A25" s="9" t="str">
        <f>VLOOKUP(B25,'CV COMP_R'!$A:$A,1,0)</f>
        <v>JAMMU &amp; KASHMIR - REST</v>
      </c>
      <c r="B25" s="5" t="s">
        <v>68</v>
      </c>
      <c r="C25" s="5" t="s">
        <v>82</v>
      </c>
      <c r="D25" s="5">
        <v>0.54099999999999993</v>
      </c>
      <c r="E25" s="5">
        <v>0.6</v>
      </c>
      <c r="F25" s="5">
        <v>0.6</v>
      </c>
      <c r="G25" s="33">
        <v>0</v>
      </c>
      <c r="H25" s="33">
        <v>0</v>
      </c>
      <c r="I25" s="33">
        <v>0.3</v>
      </c>
      <c r="J25" s="5">
        <v>0.21500000000000008</v>
      </c>
      <c r="K25" s="5">
        <v>0.26400000000000001</v>
      </c>
      <c r="L25" s="5">
        <v>0.37999999999999989</v>
      </c>
      <c r="M25" s="5">
        <v>0</v>
      </c>
      <c r="N25" s="5">
        <v>0.10100000000000009</v>
      </c>
      <c r="O25" s="5">
        <v>0.24</v>
      </c>
      <c r="P25" s="5">
        <v>0</v>
      </c>
      <c r="Q25" s="5">
        <v>0.23399999999999999</v>
      </c>
      <c r="R25" s="5">
        <v>0.26039999999999996</v>
      </c>
      <c r="S25" s="5">
        <v>0</v>
      </c>
      <c r="T25" s="5">
        <v>0.11999999999999988</v>
      </c>
      <c r="U25" s="5">
        <v>0.28000000000000003</v>
      </c>
      <c r="V25" s="5">
        <v>0</v>
      </c>
      <c r="W25" s="5">
        <v>0</v>
      </c>
      <c r="X25" s="5">
        <v>0</v>
      </c>
    </row>
    <row r="26" spans="1:24" x14ac:dyDescent="0.2">
      <c r="A26" s="9" t="str">
        <f>VLOOKUP(B26,'CV COMP_R'!$A:$A,1,0)</f>
        <v>PUNJAB - AMRITSAR &amp; SURRONDING</v>
      </c>
      <c r="B26" s="5" t="s">
        <v>69</v>
      </c>
      <c r="C26" s="5" t="s">
        <v>83</v>
      </c>
      <c r="D26" s="5">
        <v>0.36099999999999999</v>
      </c>
      <c r="E26" s="5">
        <v>0.41499999999999992</v>
      </c>
      <c r="F26" s="5">
        <v>0.53109999999999991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0.21199999999999986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0.39999999999999991</v>
      </c>
      <c r="T26" s="5">
        <v>0.43199999999999994</v>
      </c>
      <c r="U26" s="5">
        <v>0.54999999999999993</v>
      </c>
      <c r="V26" s="5">
        <v>0.28000000000000003</v>
      </c>
      <c r="W26" s="5">
        <v>0.28000000000000003</v>
      </c>
      <c r="X26" s="5">
        <v>0.27999999999999992</v>
      </c>
    </row>
    <row r="27" spans="1:24" x14ac:dyDescent="0.2">
      <c r="A27" s="9" t="str">
        <f>VLOOKUP(B27,'CV COMP_R'!$A:$A,1,0)</f>
        <v>PUNJAB - LUDHIANA &amp; SURRONDING</v>
      </c>
      <c r="B27" s="5" t="s">
        <v>70</v>
      </c>
      <c r="C27" s="5" t="s">
        <v>83</v>
      </c>
      <c r="D27" s="5">
        <v>0.36099999999999999</v>
      </c>
      <c r="E27" s="5">
        <v>0.41499999999999992</v>
      </c>
      <c r="F27" s="5">
        <v>0.53109999999999991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0.21199999999999986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0.39999999999999991</v>
      </c>
      <c r="T27" s="5">
        <v>0.43199999999999994</v>
      </c>
      <c r="U27" s="5">
        <v>0.54999999999999993</v>
      </c>
      <c r="V27" s="5">
        <v>0.28000000000000003</v>
      </c>
      <c r="W27" s="5">
        <v>0.28000000000000003</v>
      </c>
      <c r="X27" s="5">
        <v>0.27999999999999992</v>
      </c>
    </row>
    <row r="28" spans="1:24" x14ac:dyDescent="0.2">
      <c r="A28" s="9" t="str">
        <f>VLOOKUP(B28,'CV COMP_R'!$A:$A,1,0)</f>
        <v>RAJASTHAN - JAIPUR</v>
      </c>
      <c r="B28" s="5" t="s">
        <v>71</v>
      </c>
      <c r="C28" s="5" t="s">
        <v>71</v>
      </c>
      <c r="D28" s="5">
        <v>0</v>
      </c>
      <c r="E28" s="5">
        <v>5.5000000000000049E-2</v>
      </c>
      <c r="F28" s="5">
        <v>0.23349999999999993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0.17999999999999983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0.25600000000000001</v>
      </c>
      <c r="T28" s="5">
        <v>0.248</v>
      </c>
      <c r="U28" s="5">
        <v>0.36099999999999999</v>
      </c>
      <c r="V28" s="5">
        <v>0</v>
      </c>
      <c r="W28" s="5">
        <v>0</v>
      </c>
      <c r="X28" s="5">
        <v>0</v>
      </c>
    </row>
    <row r="29" spans="1:24" x14ac:dyDescent="0.2">
      <c r="A29" s="9" t="str">
        <f>VLOOKUP(B29,'CV COMP_R'!$A:$A,1,0)</f>
        <v>RAJASTHAN - JAIPUR SURRONDING</v>
      </c>
      <c r="B29" s="5" t="s">
        <v>72</v>
      </c>
      <c r="C29" s="5" t="s">
        <v>71</v>
      </c>
      <c r="D29" s="5">
        <v>0</v>
      </c>
      <c r="E29" s="5">
        <v>5.5000000000000049E-2</v>
      </c>
      <c r="F29" s="5">
        <v>0.23349999999999993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0.17999999999999983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0.25600000000000001</v>
      </c>
      <c r="T29" s="5">
        <v>0.248</v>
      </c>
      <c r="U29" s="5">
        <v>0.36099999999999999</v>
      </c>
      <c r="V29" s="5">
        <v>0</v>
      </c>
      <c r="W29" s="5">
        <v>0</v>
      </c>
      <c r="X29" s="5">
        <v>0</v>
      </c>
    </row>
    <row r="30" spans="1:24" x14ac:dyDescent="0.2">
      <c r="A30" s="9" t="str">
        <f>VLOOKUP(B30,'CV COMP_R'!$A:$A,1,0)</f>
        <v>RAJASTHAN - REST</v>
      </c>
      <c r="B30" s="5" t="s">
        <v>73</v>
      </c>
      <c r="C30" s="5" t="s">
        <v>73</v>
      </c>
      <c r="D30" s="5">
        <v>0</v>
      </c>
      <c r="E30" s="5">
        <v>0.16300000000000003</v>
      </c>
      <c r="F30" s="5">
        <v>0.27999999999999992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0.10799999999999987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0.12799999999999989</v>
      </c>
      <c r="U30" s="5">
        <v>0.253</v>
      </c>
      <c r="V30" s="5">
        <v>0</v>
      </c>
      <c r="W30" s="5">
        <v>0</v>
      </c>
      <c r="X30" s="5">
        <v>0</v>
      </c>
    </row>
    <row r="31" spans="1:24" x14ac:dyDescent="0.2">
      <c r="A31" s="9" t="str">
        <f>VLOOKUP(B31,'CV COMP_R'!$A:$A,1,0)</f>
        <v>RAJASTHAN - UDAIPUR &amp; SURRONDING</v>
      </c>
      <c r="B31" s="5" t="s">
        <v>74</v>
      </c>
      <c r="C31" s="5" t="s">
        <v>84</v>
      </c>
      <c r="D31" s="5">
        <v>0.14500000000000002</v>
      </c>
      <c r="E31" s="5">
        <v>0.21699999999999997</v>
      </c>
      <c r="F31" s="5">
        <v>0.36369999999999991</v>
      </c>
      <c r="G31" s="5">
        <v>0</v>
      </c>
      <c r="H31" s="5">
        <v>0</v>
      </c>
      <c r="I31" s="5">
        <v>0</v>
      </c>
      <c r="J31" s="5">
        <v>0.10299999999999998</v>
      </c>
      <c r="K31" s="5">
        <v>0.20100000000000007</v>
      </c>
      <c r="L31" s="5">
        <v>0.30799999999999994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0.15199999999999991</v>
      </c>
      <c r="T31" s="5">
        <v>0.23199999999999987</v>
      </c>
      <c r="U31" s="5">
        <v>0.37</v>
      </c>
      <c r="V31" s="5">
        <v>0</v>
      </c>
      <c r="W31" s="5">
        <v>0</v>
      </c>
      <c r="X31" s="5">
        <v>0</v>
      </c>
    </row>
    <row r="32" spans="1:24" x14ac:dyDescent="0.2">
      <c r="A32" s="9" t="str">
        <f>VLOOKUP(B32,'CV COMP_R'!$A:$A,1,0)</f>
        <v>UTTAR PRADESH - LUCKNOW, ALLAHABAD, GORAKHPUR, KANPUR &amp; VARANASI</v>
      </c>
      <c r="B32" s="5" t="s">
        <v>75</v>
      </c>
      <c r="C32" s="5" t="s">
        <v>85</v>
      </c>
      <c r="D32" s="5">
        <v>0.38800000000000001</v>
      </c>
      <c r="E32" s="5">
        <v>0.253</v>
      </c>
      <c r="F32" s="5">
        <v>0.38229999999999997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7.2500000000000009E-2</v>
      </c>
      <c r="R32" s="5">
        <v>0.17</v>
      </c>
      <c r="S32" s="5">
        <v>0.39999999999999991</v>
      </c>
      <c r="T32" s="5">
        <v>0.51200000000000001</v>
      </c>
      <c r="U32" s="5">
        <v>0.54999999999999993</v>
      </c>
      <c r="V32" s="5">
        <v>0</v>
      </c>
      <c r="W32" s="5">
        <v>0</v>
      </c>
      <c r="X32" s="5">
        <v>0</v>
      </c>
    </row>
    <row r="33" spans="1:24" x14ac:dyDescent="0.2">
      <c r="A33" s="9" t="str">
        <f>VLOOKUP(B33,'CV COMP_R'!$A:$A,1,0)</f>
        <v>UTTAR PRADESH - REST</v>
      </c>
      <c r="B33" s="5" t="s">
        <v>76</v>
      </c>
      <c r="C33" s="5" t="s">
        <v>76</v>
      </c>
      <c r="D33" s="5">
        <v>0.31599999999999995</v>
      </c>
      <c r="E33" s="5">
        <v>0.42</v>
      </c>
      <c r="F33" s="5">
        <v>0.42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0.28000000000000003</v>
      </c>
      <c r="T33" s="5">
        <v>0.376</v>
      </c>
      <c r="U33" s="5">
        <v>0.54999999999999993</v>
      </c>
      <c r="V33" s="5">
        <v>0</v>
      </c>
      <c r="W33" s="5">
        <v>0</v>
      </c>
      <c r="X33" s="5">
        <v>0</v>
      </c>
    </row>
    <row r="34" spans="1:24" x14ac:dyDescent="0.2">
      <c r="A34" s="9" t="str">
        <f>VLOOKUP(B34,'CV COMP_R'!$A:$A,1,0)</f>
        <v>UTTAR PRADESH - WEST</v>
      </c>
      <c r="B34" s="5" t="s">
        <v>77</v>
      </c>
      <c r="C34" s="5" t="s">
        <v>76</v>
      </c>
      <c r="D34" s="5">
        <v>0.31599999999999995</v>
      </c>
      <c r="E34" s="5">
        <v>0.42</v>
      </c>
      <c r="F34" s="5">
        <v>0.42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0.28000000000000003</v>
      </c>
      <c r="T34" s="5">
        <v>0.376</v>
      </c>
      <c r="U34" s="5">
        <v>0.54999999999999993</v>
      </c>
      <c r="V34" s="5">
        <v>0</v>
      </c>
      <c r="W34" s="5">
        <v>0</v>
      </c>
      <c r="X34" s="5">
        <v>0</v>
      </c>
    </row>
    <row r="35" spans="1:24" x14ac:dyDescent="0.2">
      <c r="A35" s="9" t="str">
        <f>VLOOKUP(B35,'CV COMP_R'!$A:$A,1,0)</f>
        <v>UTTARAKHAND - DEHRADUN</v>
      </c>
      <c r="B35" s="5" t="s">
        <v>78</v>
      </c>
      <c r="C35" s="5" t="s">
        <v>86</v>
      </c>
      <c r="D35" s="5">
        <v>0.40599999999999992</v>
      </c>
      <c r="E35" s="5">
        <v>0.50499999999999989</v>
      </c>
      <c r="F35" s="5">
        <v>0.48459999999999998</v>
      </c>
      <c r="G35" s="5">
        <v>0</v>
      </c>
      <c r="H35" s="5">
        <v>0</v>
      </c>
      <c r="I35" s="5">
        <v>0</v>
      </c>
      <c r="J35" s="5">
        <v>0</v>
      </c>
      <c r="K35" s="5">
        <v>0.18000000000000005</v>
      </c>
      <c r="L35" s="5">
        <v>0.26</v>
      </c>
      <c r="M35" s="5">
        <v>0</v>
      </c>
      <c r="N35" s="5">
        <v>0</v>
      </c>
      <c r="O35" s="5">
        <v>0.22</v>
      </c>
      <c r="P35" s="5">
        <v>0</v>
      </c>
      <c r="Q35" s="5">
        <v>6.3000000000000056E-2</v>
      </c>
      <c r="R35" s="5">
        <v>0.2</v>
      </c>
      <c r="S35" s="5">
        <v>0.26400000000000001</v>
      </c>
      <c r="T35" s="5">
        <v>0.36799999999999999</v>
      </c>
      <c r="U35" s="5">
        <v>0.46899999999999997</v>
      </c>
      <c r="V35" s="5">
        <v>0</v>
      </c>
      <c r="W35" s="5">
        <v>0</v>
      </c>
      <c r="X35" s="5">
        <v>0</v>
      </c>
    </row>
    <row r="36" spans="1:24" x14ac:dyDescent="0.2">
      <c r="A36" s="9" t="str">
        <f>VLOOKUP(B36,'CV COMP_R'!$A:$A,1,0)</f>
        <v>UTTARAKHAND - REST</v>
      </c>
      <c r="B36" s="5" t="s">
        <v>79</v>
      </c>
      <c r="C36" s="5" t="s">
        <v>86</v>
      </c>
      <c r="D36" s="5">
        <v>0.40599999999999992</v>
      </c>
      <c r="E36" s="5">
        <v>0.50499999999999989</v>
      </c>
      <c r="F36" s="5">
        <v>0.48459999999999998</v>
      </c>
      <c r="G36" s="5">
        <v>0</v>
      </c>
      <c r="H36" s="5">
        <v>0</v>
      </c>
      <c r="I36" s="5">
        <v>0</v>
      </c>
      <c r="J36" s="5">
        <v>0</v>
      </c>
      <c r="K36" s="5">
        <v>0.18000000000000005</v>
      </c>
      <c r="L36" s="5">
        <v>0.26</v>
      </c>
      <c r="M36" s="5">
        <v>0</v>
      </c>
      <c r="N36" s="5">
        <v>0</v>
      </c>
      <c r="O36" s="5">
        <v>0.22</v>
      </c>
      <c r="P36" s="5">
        <v>0</v>
      </c>
      <c r="Q36" s="5">
        <v>6.3000000000000056E-2</v>
      </c>
      <c r="R36" s="5">
        <v>0.2</v>
      </c>
      <c r="S36" s="5">
        <v>0.26400000000000001</v>
      </c>
      <c r="T36" s="5">
        <v>0.36799999999999999</v>
      </c>
      <c r="U36" s="5">
        <v>0.46899999999999997</v>
      </c>
      <c r="V36" s="5">
        <v>0</v>
      </c>
      <c r="W36" s="5">
        <v>0</v>
      </c>
      <c r="X36" s="5">
        <v>0</v>
      </c>
    </row>
    <row r="37" spans="1:24" x14ac:dyDescent="0.2">
      <c r="A37" s="9" t="str">
        <f>VLOOKUP(B37,'CV COMP_R'!$A:$A,1,0)</f>
        <v>BIHAR</v>
      </c>
      <c r="B37" s="5" t="s">
        <v>97</v>
      </c>
      <c r="C37" s="5" t="s">
        <v>97</v>
      </c>
      <c r="D37" s="5">
        <v>0.44199999999999995</v>
      </c>
      <c r="E37" s="5">
        <v>0.51400000000000001</v>
      </c>
      <c r="F37" s="5">
        <v>0.56999999999999995</v>
      </c>
      <c r="G37" s="33">
        <v>0</v>
      </c>
      <c r="H37" s="33">
        <v>0</v>
      </c>
      <c r="I37" s="33">
        <v>0.4</v>
      </c>
      <c r="J37" s="5">
        <v>0.30600000000000005</v>
      </c>
      <c r="K37" s="5">
        <v>0.376</v>
      </c>
      <c r="L37" s="5">
        <v>0.46799999999999997</v>
      </c>
      <c r="M37" s="5">
        <v>0.11050000000000004</v>
      </c>
      <c r="N37" s="5">
        <v>0.2</v>
      </c>
      <c r="O37" s="5">
        <v>0.31</v>
      </c>
      <c r="P37" s="5">
        <v>0.12</v>
      </c>
      <c r="Q37" s="5">
        <v>7.2500000000000009E-2</v>
      </c>
      <c r="R37" s="5">
        <v>0.22</v>
      </c>
      <c r="S37" s="5">
        <v>0.31999999999999995</v>
      </c>
      <c r="T37" s="5">
        <v>0.38400000000000001</v>
      </c>
      <c r="U37" s="5">
        <v>0.47799999999999998</v>
      </c>
      <c r="V37" s="5">
        <v>0.50499999999999989</v>
      </c>
      <c r="W37" s="5">
        <v>0.50499999999999989</v>
      </c>
      <c r="X37" s="5">
        <v>0.51249999999999996</v>
      </c>
    </row>
    <row r="38" spans="1:24" x14ac:dyDescent="0.2">
      <c r="A38" s="9" t="str">
        <f>VLOOKUP(B38,'CV COMP_R'!$A:$A,1,0)</f>
        <v>JHARKHAND</v>
      </c>
      <c r="B38" s="5" t="s">
        <v>98</v>
      </c>
      <c r="C38" s="5" t="s">
        <v>98</v>
      </c>
      <c r="D38" s="5">
        <v>0.47799999999999998</v>
      </c>
      <c r="E38" s="5">
        <v>0.54999999999999993</v>
      </c>
      <c r="F38" s="5">
        <v>0.5</v>
      </c>
      <c r="G38" s="33">
        <v>0</v>
      </c>
      <c r="H38" s="33">
        <v>0</v>
      </c>
      <c r="I38" s="33">
        <v>0.4</v>
      </c>
      <c r="J38" s="5">
        <v>0.22899999999999998</v>
      </c>
      <c r="K38" s="5">
        <v>0.31299999999999994</v>
      </c>
      <c r="L38" s="5">
        <v>0.40399999999999991</v>
      </c>
      <c r="M38" s="5">
        <v>0</v>
      </c>
      <c r="N38" s="5">
        <v>0.17700000000000005</v>
      </c>
      <c r="O38" s="5">
        <v>0</v>
      </c>
      <c r="P38" s="5">
        <v>0.19600000000000006</v>
      </c>
      <c r="Q38" s="5">
        <v>0</v>
      </c>
      <c r="R38" s="5">
        <v>0</v>
      </c>
      <c r="S38" s="5">
        <v>0.31199999999999994</v>
      </c>
      <c r="T38" s="5">
        <v>0.3919999999999999</v>
      </c>
      <c r="U38" s="5">
        <v>0.48699999999999999</v>
      </c>
      <c r="V38" s="5">
        <v>0.41499999999999992</v>
      </c>
      <c r="W38" s="5">
        <v>0.41499999999999992</v>
      </c>
      <c r="X38" s="5">
        <v>0.41949999999999987</v>
      </c>
    </row>
    <row r="39" spans="1:24" x14ac:dyDescent="0.2">
      <c r="A39" s="9" t="str">
        <f>VLOOKUP(B39,'CV COMP_R'!$A:$A,1,0)</f>
        <v>ODISHA - BHUBANESHWAR</v>
      </c>
      <c r="B39" s="5" t="s">
        <v>103</v>
      </c>
      <c r="C39" s="5" t="s">
        <v>111</v>
      </c>
      <c r="D39" s="5">
        <v>0.379</v>
      </c>
      <c r="E39" s="5">
        <v>0.51400000000000001</v>
      </c>
      <c r="F39" s="5">
        <v>0.58689999999999998</v>
      </c>
      <c r="G39" s="33">
        <v>0</v>
      </c>
      <c r="H39" s="33">
        <v>0</v>
      </c>
      <c r="I39" s="33">
        <v>0.3</v>
      </c>
      <c r="J39" s="5">
        <v>0.13800000000000001</v>
      </c>
      <c r="K39" s="5">
        <v>0.22899999999999998</v>
      </c>
      <c r="L39" s="5">
        <v>0.33199999999999996</v>
      </c>
      <c r="M39" s="5">
        <v>0</v>
      </c>
      <c r="N39" s="5">
        <v>0.15800000000000003</v>
      </c>
      <c r="O39" s="5">
        <v>0.26</v>
      </c>
      <c r="P39" s="5">
        <v>0</v>
      </c>
      <c r="Q39" s="5">
        <v>0.253</v>
      </c>
      <c r="R39" s="5">
        <v>0.31</v>
      </c>
      <c r="S39" s="5">
        <v>0.26400000000000001</v>
      </c>
      <c r="T39" s="5">
        <v>0.3919999999999999</v>
      </c>
      <c r="U39" s="5">
        <v>0.49599999999999994</v>
      </c>
      <c r="V39" s="5">
        <v>0.28000000000000003</v>
      </c>
      <c r="W39" s="5">
        <v>0.28000000000000003</v>
      </c>
      <c r="X39" s="5">
        <v>0.27999999999999992</v>
      </c>
    </row>
    <row r="40" spans="1:24" x14ac:dyDescent="0.2">
      <c r="A40" s="9" t="str">
        <f>VLOOKUP(B40,'CV COMP_R'!$A:$A,1,0)</f>
        <v>ODISHA - REST</v>
      </c>
      <c r="B40" s="5" t="s">
        <v>104</v>
      </c>
      <c r="C40" s="5" t="s">
        <v>111</v>
      </c>
      <c r="D40" s="5">
        <v>0.379</v>
      </c>
      <c r="E40" s="5">
        <v>0.51400000000000001</v>
      </c>
      <c r="F40" s="5">
        <v>0.58689999999999998</v>
      </c>
      <c r="G40" s="33">
        <v>0</v>
      </c>
      <c r="H40" s="33">
        <v>0</v>
      </c>
      <c r="I40" s="33">
        <v>0.3</v>
      </c>
      <c r="J40" s="5">
        <v>0.13800000000000001</v>
      </c>
      <c r="K40" s="5">
        <v>0.22899999999999998</v>
      </c>
      <c r="L40" s="5">
        <v>0.33199999999999996</v>
      </c>
      <c r="M40" s="5">
        <v>0</v>
      </c>
      <c r="N40" s="5">
        <v>0.15800000000000003</v>
      </c>
      <c r="O40" s="5">
        <v>0.26</v>
      </c>
      <c r="P40" s="5">
        <v>0</v>
      </c>
      <c r="Q40" s="5">
        <v>0.253</v>
      </c>
      <c r="R40" s="5">
        <v>0.31</v>
      </c>
      <c r="S40" s="5">
        <v>0.26400000000000001</v>
      </c>
      <c r="T40" s="5">
        <v>0.3919999999999999</v>
      </c>
      <c r="U40" s="5">
        <v>0.49599999999999994</v>
      </c>
      <c r="V40" s="5">
        <v>0.28000000000000003</v>
      </c>
      <c r="W40" s="5">
        <v>0.28000000000000003</v>
      </c>
      <c r="X40" s="5">
        <v>0.27999999999999992</v>
      </c>
    </row>
    <row r="41" spans="1:24" x14ac:dyDescent="0.2">
      <c r="A41" s="9" t="str">
        <f>VLOOKUP(B41,'CV COMP_R'!$A:$A,1,0)</f>
        <v>WEST BENGAL - KOLKATA</v>
      </c>
      <c r="B41" s="5" t="s">
        <v>107</v>
      </c>
      <c r="C41" s="5" t="s">
        <v>112</v>
      </c>
      <c r="D41" s="5">
        <v>0.26200000000000001</v>
      </c>
      <c r="E41" s="5">
        <v>0.49599999999999994</v>
      </c>
      <c r="F41" s="5">
        <v>0.55899999999999994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0.29599999999999993</v>
      </c>
      <c r="T41" s="5">
        <v>0.40799999999999992</v>
      </c>
      <c r="U41" s="5">
        <v>0.50499999999999989</v>
      </c>
      <c r="V41" s="5">
        <v>0.28000000000000003</v>
      </c>
      <c r="W41" s="5">
        <v>0.28000000000000003</v>
      </c>
      <c r="X41" s="5">
        <v>0.27999999999999992</v>
      </c>
    </row>
    <row r="42" spans="1:24" x14ac:dyDescent="0.2">
      <c r="A42" s="9" t="str">
        <f>VLOOKUP(B42,'CV COMP_R'!$A:$A,1,0)</f>
        <v>WEST BENGAL - REST</v>
      </c>
      <c r="B42" s="5" t="s">
        <v>108</v>
      </c>
      <c r="C42" s="5" t="s">
        <v>112</v>
      </c>
      <c r="D42" s="5">
        <v>0.26200000000000001</v>
      </c>
      <c r="E42" s="5">
        <v>0.49599999999999994</v>
      </c>
      <c r="F42" s="5">
        <v>0.55899999999999994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0.29599999999999993</v>
      </c>
      <c r="T42" s="5">
        <v>0.40799999999999992</v>
      </c>
      <c r="U42" s="5">
        <v>0.50499999999999989</v>
      </c>
      <c r="V42" s="5">
        <v>0.28000000000000003</v>
      </c>
      <c r="W42" s="5">
        <v>0.28000000000000003</v>
      </c>
      <c r="X42" s="5">
        <v>0.27999999999999992</v>
      </c>
    </row>
  </sheetData>
  <mergeCells count="10">
    <mergeCell ref="S2:U2"/>
    <mergeCell ref="V2:X2"/>
    <mergeCell ref="B1:X1"/>
    <mergeCell ref="B2:B3"/>
    <mergeCell ref="P2:R2"/>
    <mergeCell ref="C2:C3"/>
    <mergeCell ref="D2:F2"/>
    <mergeCell ref="G2:I2"/>
    <mergeCell ref="J2:L2"/>
    <mergeCell ref="M2:O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9461-B8A0-4DC1-ABB4-F2A8E12F8C2C}">
  <sheetPr filterMode="1"/>
  <dimension ref="A1:F67"/>
  <sheetViews>
    <sheetView topLeftCell="A4" workbookViewId="0">
      <selection activeCell="C78" sqref="C78"/>
    </sheetView>
  </sheetViews>
  <sheetFormatPr defaultColWidth="9.140625" defaultRowHeight="11.25" x14ac:dyDescent="0.2"/>
  <cols>
    <col min="1" max="1" width="52.5703125" style="9" bestFit="1" customWidth="1"/>
    <col min="2" max="3" width="6.28515625" style="9" bestFit="1" customWidth="1"/>
    <col min="4" max="5" width="8" style="9" bestFit="1" customWidth="1"/>
    <col min="6" max="6" width="15.42578125" style="9" bestFit="1" customWidth="1"/>
    <col min="7" max="16384" width="9.140625" style="9"/>
  </cols>
  <sheetData>
    <row r="1" spans="1:6" x14ac:dyDescent="0.2">
      <c r="A1" s="140" t="s">
        <v>141</v>
      </c>
      <c r="B1" s="140"/>
      <c r="C1" s="140"/>
      <c r="D1" s="140"/>
      <c r="E1" s="140"/>
      <c r="F1" s="141"/>
    </row>
    <row r="3" spans="1:6" ht="11.25" customHeight="1" x14ac:dyDescent="0.2"/>
    <row r="4" spans="1:6" x14ac:dyDescent="0.2">
      <c r="A4" s="1" t="s">
        <v>31</v>
      </c>
      <c r="B4" s="142" t="s">
        <v>87</v>
      </c>
      <c r="C4" s="142"/>
      <c r="D4" s="142" t="s">
        <v>88</v>
      </c>
      <c r="E4" s="142" t="s">
        <v>89</v>
      </c>
      <c r="F4" s="143" t="s">
        <v>90</v>
      </c>
    </row>
    <row r="5" spans="1:6" hidden="1" x14ac:dyDescent="0.2">
      <c r="A5" s="1" t="s">
        <v>33</v>
      </c>
      <c r="B5" s="10" t="s">
        <v>91</v>
      </c>
      <c r="C5" s="10" t="s">
        <v>92</v>
      </c>
      <c r="D5" s="142"/>
      <c r="E5" s="142"/>
      <c r="F5" s="143"/>
    </row>
    <row r="6" spans="1:6" hidden="1" x14ac:dyDescent="0.2">
      <c r="A6" s="36" t="s">
        <v>7</v>
      </c>
      <c r="B6" s="37">
        <v>0.33</v>
      </c>
      <c r="C6" s="37">
        <v>0.18</v>
      </c>
      <c r="D6" s="37">
        <v>0.18</v>
      </c>
      <c r="E6" s="37">
        <v>0.18</v>
      </c>
      <c r="F6" s="37">
        <v>0.33</v>
      </c>
    </row>
    <row r="7" spans="1:6" hidden="1" x14ac:dyDescent="0.2">
      <c r="A7" s="36" t="s">
        <v>9</v>
      </c>
      <c r="B7" s="37">
        <v>0.33</v>
      </c>
      <c r="C7" s="37">
        <v>0.18</v>
      </c>
      <c r="D7" s="37">
        <v>0.18</v>
      </c>
      <c r="E7" s="37">
        <v>0.18</v>
      </c>
      <c r="F7" s="37">
        <v>0.33</v>
      </c>
    </row>
    <row r="8" spans="1:6" hidden="1" x14ac:dyDescent="0.2">
      <c r="A8" s="36" t="s">
        <v>10</v>
      </c>
      <c r="B8" s="37">
        <v>0.33</v>
      </c>
      <c r="C8" s="37">
        <v>0.18</v>
      </c>
      <c r="D8" s="37">
        <v>0.18</v>
      </c>
      <c r="E8" s="37">
        <v>0.18</v>
      </c>
      <c r="F8" s="37">
        <v>0.33</v>
      </c>
    </row>
    <row r="9" spans="1:6" hidden="1" x14ac:dyDescent="0.2">
      <c r="A9" s="36" t="s">
        <v>93</v>
      </c>
      <c r="B9" s="37">
        <v>0.2</v>
      </c>
      <c r="C9" s="37">
        <v>0.2</v>
      </c>
      <c r="D9" s="37">
        <v>0.2</v>
      </c>
      <c r="E9" s="37">
        <v>0.2</v>
      </c>
      <c r="F9" s="37">
        <v>0.15</v>
      </c>
    </row>
    <row r="10" spans="1:6" hidden="1" x14ac:dyDescent="0.2">
      <c r="A10" s="36" t="s">
        <v>94</v>
      </c>
      <c r="B10" s="37">
        <v>0.28000000000000003</v>
      </c>
      <c r="C10" s="37">
        <v>0.13</v>
      </c>
      <c r="D10" s="37">
        <v>0.13</v>
      </c>
      <c r="E10" s="37">
        <v>0</v>
      </c>
      <c r="F10" s="37">
        <v>0</v>
      </c>
    </row>
    <row r="11" spans="1:6" hidden="1" x14ac:dyDescent="0.2">
      <c r="A11" s="36" t="s">
        <v>95</v>
      </c>
      <c r="B11" s="37">
        <v>0.28000000000000003</v>
      </c>
      <c r="C11" s="37">
        <v>0.13</v>
      </c>
      <c r="D11" s="37">
        <v>0.13</v>
      </c>
      <c r="E11" s="37">
        <v>0</v>
      </c>
      <c r="F11" s="37">
        <v>0</v>
      </c>
    </row>
    <row r="12" spans="1:6" hidden="1" x14ac:dyDescent="0.2">
      <c r="A12" s="36" t="s">
        <v>96</v>
      </c>
      <c r="B12" s="37">
        <v>0.28000000000000003</v>
      </c>
      <c r="C12" s="37">
        <v>0.13</v>
      </c>
      <c r="D12" s="37">
        <v>0.13</v>
      </c>
      <c r="E12" s="37">
        <v>0</v>
      </c>
      <c r="F12" s="37">
        <v>0</v>
      </c>
    </row>
    <row r="13" spans="1:6" hidden="1" x14ac:dyDescent="0.2">
      <c r="A13" s="36" t="s">
        <v>97</v>
      </c>
      <c r="B13" s="37">
        <v>0.33</v>
      </c>
      <c r="C13" s="37">
        <v>0.33</v>
      </c>
      <c r="D13" s="37">
        <v>0.22</v>
      </c>
      <c r="E13" s="37">
        <v>0.25</v>
      </c>
      <c r="F13" s="37">
        <v>0.33</v>
      </c>
    </row>
    <row r="14" spans="1:6" hidden="1" x14ac:dyDescent="0.2">
      <c r="A14" s="36" t="s">
        <v>62</v>
      </c>
      <c r="B14" s="37">
        <v>0.33</v>
      </c>
      <c r="C14" s="37">
        <v>0.13</v>
      </c>
      <c r="D14" s="37">
        <v>0.18</v>
      </c>
      <c r="E14" s="37">
        <v>0.32</v>
      </c>
      <c r="F14" s="37">
        <v>0.33</v>
      </c>
    </row>
    <row r="15" spans="1:6" hidden="1" x14ac:dyDescent="0.2">
      <c r="A15" s="36" t="s">
        <v>109</v>
      </c>
      <c r="B15" s="37">
        <v>0.33</v>
      </c>
      <c r="C15" s="37">
        <v>0.13</v>
      </c>
      <c r="D15" s="37">
        <v>0.18</v>
      </c>
      <c r="E15" s="37">
        <v>0.32</v>
      </c>
      <c r="F15" s="37">
        <v>0.33</v>
      </c>
    </row>
    <row r="16" spans="1:6" hidden="1" x14ac:dyDescent="0.2">
      <c r="A16" s="36" t="s">
        <v>110</v>
      </c>
      <c r="B16" s="37">
        <v>0.33</v>
      </c>
      <c r="C16" s="37">
        <v>0.13</v>
      </c>
      <c r="D16" s="37">
        <v>0.18</v>
      </c>
      <c r="E16" s="37">
        <v>0.32</v>
      </c>
      <c r="F16" s="37">
        <v>0.33</v>
      </c>
    </row>
    <row r="17" spans="1:6" hidden="1" x14ac:dyDescent="0.2">
      <c r="A17" s="36" t="s">
        <v>63</v>
      </c>
      <c r="B17" s="37">
        <v>0.33</v>
      </c>
      <c r="C17" s="37">
        <v>0.18</v>
      </c>
      <c r="D17" s="37">
        <v>0.18</v>
      </c>
      <c r="E17" s="37">
        <v>0.08</v>
      </c>
      <c r="F17" s="37">
        <v>0.61</v>
      </c>
    </row>
    <row r="18" spans="1:6" hidden="1" x14ac:dyDescent="0.2">
      <c r="A18" s="36" t="s">
        <v>52</v>
      </c>
      <c r="B18" s="37">
        <v>0.33</v>
      </c>
      <c r="C18" s="37">
        <v>0.33</v>
      </c>
      <c r="D18" s="37">
        <v>0.33</v>
      </c>
      <c r="E18" s="37">
        <v>0.4</v>
      </c>
      <c r="F18" s="37">
        <v>0.33</v>
      </c>
    </row>
    <row r="19" spans="1:6" hidden="1" x14ac:dyDescent="0.2">
      <c r="A19" s="36" t="s">
        <v>113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</row>
    <row r="20" spans="1:6" hidden="1" x14ac:dyDescent="0.2">
      <c r="A20" s="36" t="s">
        <v>114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</row>
    <row r="21" spans="1:6" hidden="1" x14ac:dyDescent="0.2">
      <c r="A21" s="36" t="s">
        <v>115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</row>
    <row r="22" spans="1:6" hidden="1" x14ac:dyDescent="0.2">
      <c r="A22" s="36" t="s">
        <v>116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</row>
    <row r="23" spans="1:6" hidden="1" x14ac:dyDescent="0.2">
      <c r="A23" s="36" t="s">
        <v>64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</row>
    <row r="24" spans="1:6" hidden="1" x14ac:dyDescent="0.2">
      <c r="A24" s="36" t="s">
        <v>65</v>
      </c>
      <c r="B24" s="37">
        <v>0.33</v>
      </c>
      <c r="C24" s="37">
        <v>0.28000000000000003</v>
      </c>
      <c r="D24" s="37">
        <v>0.33</v>
      </c>
      <c r="E24" s="37">
        <v>0.28000000000000003</v>
      </c>
      <c r="F24" s="37">
        <v>0.33</v>
      </c>
    </row>
    <row r="25" spans="1:6" hidden="1" x14ac:dyDescent="0.2">
      <c r="A25" s="36" t="s">
        <v>66</v>
      </c>
      <c r="B25" s="37">
        <v>0.33</v>
      </c>
      <c r="C25" s="37">
        <v>0.28000000000000003</v>
      </c>
      <c r="D25" s="37">
        <v>0.33</v>
      </c>
      <c r="E25" s="37">
        <v>0.4</v>
      </c>
      <c r="F25" s="37">
        <v>0.33</v>
      </c>
    </row>
    <row r="26" spans="1:6" hidden="1" x14ac:dyDescent="0.2">
      <c r="A26" s="36" t="s">
        <v>67</v>
      </c>
      <c r="B26" s="37">
        <v>0.33</v>
      </c>
      <c r="C26" s="37">
        <v>0.28000000000000003</v>
      </c>
      <c r="D26" s="37">
        <v>0.33</v>
      </c>
      <c r="E26" s="37">
        <v>0.4</v>
      </c>
      <c r="F26" s="37">
        <v>0</v>
      </c>
    </row>
    <row r="27" spans="1:6" hidden="1" x14ac:dyDescent="0.2">
      <c r="A27" s="36" t="s">
        <v>68</v>
      </c>
      <c r="B27" s="37">
        <v>0.33</v>
      </c>
      <c r="C27" s="37">
        <v>0.28000000000000003</v>
      </c>
      <c r="D27" s="37">
        <v>0.33</v>
      </c>
      <c r="E27" s="37">
        <v>0.4</v>
      </c>
      <c r="F27" s="37">
        <v>0</v>
      </c>
    </row>
    <row r="28" spans="1:6" hidden="1" x14ac:dyDescent="0.2">
      <c r="A28" s="36" t="s">
        <v>98</v>
      </c>
      <c r="B28" s="37">
        <v>0</v>
      </c>
      <c r="C28" s="37">
        <v>0.33</v>
      </c>
      <c r="D28" s="37">
        <v>0.22</v>
      </c>
      <c r="E28" s="37">
        <v>0.27</v>
      </c>
      <c r="F28" s="37">
        <v>0.33</v>
      </c>
    </row>
    <row r="29" spans="1:6" hidden="1" x14ac:dyDescent="0.2">
      <c r="A29" s="36" t="s">
        <v>11</v>
      </c>
      <c r="B29" s="37">
        <v>0.33</v>
      </c>
      <c r="C29" s="37">
        <v>0.1</v>
      </c>
      <c r="D29" s="37">
        <v>0.08</v>
      </c>
      <c r="E29" s="37">
        <v>0.18</v>
      </c>
      <c r="F29" s="37">
        <v>0.15</v>
      </c>
    </row>
    <row r="30" spans="1:6" hidden="1" x14ac:dyDescent="0.2">
      <c r="A30" s="36" t="s">
        <v>12</v>
      </c>
      <c r="B30" s="37">
        <v>0.33</v>
      </c>
      <c r="C30" s="37">
        <v>0.1</v>
      </c>
      <c r="D30" s="37">
        <v>0.08</v>
      </c>
      <c r="E30" s="37">
        <v>0.18</v>
      </c>
      <c r="F30" s="37">
        <v>0.15</v>
      </c>
    </row>
    <row r="31" spans="1:6" hidden="1" x14ac:dyDescent="0.2">
      <c r="A31" s="36" t="s">
        <v>13</v>
      </c>
      <c r="B31" s="37">
        <v>0.33</v>
      </c>
      <c r="C31" s="37">
        <v>0.15</v>
      </c>
      <c r="D31" s="37">
        <v>0.08</v>
      </c>
      <c r="E31" s="37">
        <v>0.13</v>
      </c>
      <c r="F31" s="37">
        <v>0.1</v>
      </c>
    </row>
    <row r="32" spans="1:6" hidden="1" x14ac:dyDescent="0.2">
      <c r="A32" s="36" t="s">
        <v>14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</row>
    <row r="33" spans="1:6" hidden="1" x14ac:dyDescent="0.2">
      <c r="A33" s="36" t="s">
        <v>15</v>
      </c>
      <c r="B33" s="37">
        <v>0.18</v>
      </c>
      <c r="C33" s="37">
        <v>0</v>
      </c>
      <c r="D33" s="37">
        <v>0</v>
      </c>
      <c r="E33" s="37">
        <v>0</v>
      </c>
      <c r="F33" s="37">
        <v>0</v>
      </c>
    </row>
    <row r="34" spans="1:6" hidden="1" x14ac:dyDescent="0.2">
      <c r="A34" s="36" t="s">
        <v>16</v>
      </c>
      <c r="B34" s="37">
        <v>0.18</v>
      </c>
      <c r="C34" s="37">
        <v>0</v>
      </c>
      <c r="D34" s="37">
        <v>0</v>
      </c>
      <c r="E34" s="37">
        <v>0</v>
      </c>
      <c r="F34" s="37">
        <v>0</v>
      </c>
    </row>
    <row r="35" spans="1:6" hidden="1" x14ac:dyDescent="0.2">
      <c r="A35" s="36" t="s">
        <v>53</v>
      </c>
      <c r="B35" s="37">
        <v>0.28000000000000003</v>
      </c>
      <c r="C35" s="37">
        <v>0.18</v>
      </c>
      <c r="D35" s="37">
        <v>0.1</v>
      </c>
      <c r="E35" s="37">
        <v>0.1</v>
      </c>
      <c r="F35" s="37">
        <v>0.18</v>
      </c>
    </row>
    <row r="36" spans="1:6" hidden="1" x14ac:dyDescent="0.2">
      <c r="A36" s="36" t="s">
        <v>55</v>
      </c>
      <c r="B36" s="37">
        <v>0.28000000000000003</v>
      </c>
      <c r="C36" s="37">
        <v>0.18</v>
      </c>
      <c r="D36" s="37">
        <v>0.1</v>
      </c>
      <c r="E36" s="37">
        <v>0.1</v>
      </c>
      <c r="F36" s="37">
        <v>0.18</v>
      </c>
    </row>
    <row r="37" spans="1:6" hidden="1" x14ac:dyDescent="0.2">
      <c r="A37" s="36" t="s">
        <v>56</v>
      </c>
      <c r="B37" s="37">
        <v>0.28000000000000003</v>
      </c>
      <c r="C37" s="37">
        <v>0.18</v>
      </c>
      <c r="D37" s="37">
        <v>0.1</v>
      </c>
      <c r="E37" s="37">
        <v>0.1</v>
      </c>
      <c r="F37" s="37">
        <v>0.18</v>
      </c>
    </row>
    <row r="38" spans="1:6" hidden="1" x14ac:dyDescent="0.2">
      <c r="A38" s="36" t="s">
        <v>57</v>
      </c>
      <c r="B38" s="37">
        <v>0.33</v>
      </c>
      <c r="C38" s="37">
        <v>0.33</v>
      </c>
      <c r="D38" s="37">
        <v>0.3</v>
      </c>
      <c r="E38" s="37">
        <v>0.33</v>
      </c>
      <c r="F38" s="37">
        <v>0.33</v>
      </c>
    </row>
    <row r="39" spans="1:6" hidden="1" x14ac:dyDescent="0.2">
      <c r="A39" s="36" t="s">
        <v>59</v>
      </c>
      <c r="B39" s="37">
        <v>0.33</v>
      </c>
      <c r="C39" s="37">
        <v>0.33</v>
      </c>
      <c r="D39" s="37">
        <v>0.3</v>
      </c>
      <c r="E39" s="37">
        <v>0.33</v>
      </c>
      <c r="F39" s="37">
        <v>0.33</v>
      </c>
    </row>
    <row r="40" spans="1:6" hidden="1" x14ac:dyDescent="0.2">
      <c r="A40" s="36" t="s">
        <v>61</v>
      </c>
      <c r="B40" s="37">
        <v>0.33</v>
      </c>
      <c r="C40" s="37">
        <v>0.33</v>
      </c>
      <c r="D40" s="37">
        <v>0.3</v>
      </c>
      <c r="E40" s="37">
        <v>0.33</v>
      </c>
      <c r="F40" s="37">
        <v>0.33</v>
      </c>
    </row>
    <row r="41" spans="1:6" hidden="1" x14ac:dyDescent="0.2">
      <c r="A41" s="36" t="s">
        <v>60</v>
      </c>
      <c r="B41" s="37">
        <v>0.33</v>
      </c>
      <c r="C41" s="37">
        <v>0.33</v>
      </c>
      <c r="D41" s="37">
        <v>0.27</v>
      </c>
      <c r="E41" s="37">
        <v>0.27</v>
      </c>
      <c r="F41" s="37">
        <v>0.33</v>
      </c>
    </row>
    <row r="42" spans="1:6" hidden="1" x14ac:dyDescent="0.2">
      <c r="A42" s="36" t="s">
        <v>99</v>
      </c>
      <c r="B42" s="37">
        <v>0.15</v>
      </c>
      <c r="C42" s="37">
        <v>0.2</v>
      </c>
      <c r="D42" s="37">
        <v>0.2</v>
      </c>
      <c r="E42" s="37">
        <v>0.2</v>
      </c>
      <c r="F42" s="37">
        <v>0.15</v>
      </c>
    </row>
    <row r="43" spans="1:6" hidden="1" x14ac:dyDescent="0.2">
      <c r="A43" s="36" t="s">
        <v>100</v>
      </c>
      <c r="B43" s="37">
        <v>0.2</v>
      </c>
      <c r="C43" s="37">
        <v>0.2</v>
      </c>
      <c r="D43" s="37">
        <v>0.2</v>
      </c>
      <c r="E43" s="37">
        <v>0.2</v>
      </c>
      <c r="F43" s="37">
        <v>0.15</v>
      </c>
    </row>
    <row r="44" spans="1:6" hidden="1" x14ac:dyDescent="0.2">
      <c r="A44" s="36" t="s">
        <v>101</v>
      </c>
      <c r="B44" s="37">
        <v>0.2</v>
      </c>
      <c r="C44" s="37">
        <v>0.15</v>
      </c>
      <c r="D44" s="37">
        <v>0.15</v>
      </c>
      <c r="E44" s="37">
        <v>0.15</v>
      </c>
      <c r="F44" s="37">
        <v>0</v>
      </c>
    </row>
    <row r="45" spans="1:6" hidden="1" x14ac:dyDescent="0.2">
      <c r="A45" s="36" t="s">
        <v>102</v>
      </c>
      <c r="B45" s="37">
        <v>0.15</v>
      </c>
      <c r="C45" s="37">
        <v>0.15</v>
      </c>
      <c r="D45" s="37">
        <v>0.1</v>
      </c>
      <c r="E45" s="37">
        <v>0.15</v>
      </c>
      <c r="F45" s="37">
        <v>0.15</v>
      </c>
    </row>
    <row r="46" spans="1:6" hidden="1" x14ac:dyDescent="0.2">
      <c r="A46" s="36" t="s">
        <v>103</v>
      </c>
      <c r="B46" s="37">
        <v>0.33</v>
      </c>
      <c r="C46" s="37">
        <v>0.23</v>
      </c>
      <c r="D46" s="37">
        <v>0.24</v>
      </c>
      <c r="E46" s="37">
        <v>0.3</v>
      </c>
      <c r="F46" s="37">
        <v>0.33</v>
      </c>
    </row>
    <row r="47" spans="1:6" hidden="1" x14ac:dyDescent="0.2">
      <c r="A47" s="36" t="s">
        <v>104</v>
      </c>
      <c r="B47" s="37">
        <v>0.33</v>
      </c>
      <c r="C47" s="37">
        <v>0.23</v>
      </c>
      <c r="D47" s="37">
        <v>0.21</v>
      </c>
      <c r="E47" s="37">
        <v>0.3</v>
      </c>
      <c r="F47" s="37">
        <v>0.33</v>
      </c>
    </row>
    <row r="48" spans="1:6" hidden="1" x14ac:dyDescent="0.2">
      <c r="A48" s="36" t="s">
        <v>69</v>
      </c>
      <c r="B48" s="37">
        <v>0.33</v>
      </c>
      <c r="C48" s="37">
        <v>0.18</v>
      </c>
      <c r="D48" s="37">
        <v>0.18</v>
      </c>
      <c r="E48" s="37">
        <v>0.18</v>
      </c>
      <c r="F48" s="37">
        <v>0.33</v>
      </c>
    </row>
    <row r="49" spans="1:6" hidden="1" x14ac:dyDescent="0.2">
      <c r="A49" s="36" t="s">
        <v>70</v>
      </c>
      <c r="B49" s="37">
        <v>0.33</v>
      </c>
      <c r="C49" s="37">
        <v>0.18</v>
      </c>
      <c r="D49" s="37">
        <v>0.18</v>
      </c>
      <c r="E49" s="37">
        <v>0.18</v>
      </c>
      <c r="F49" s="37">
        <v>0.33</v>
      </c>
    </row>
    <row r="50" spans="1:6" x14ac:dyDescent="0.2">
      <c r="A50" s="36" t="s">
        <v>71</v>
      </c>
      <c r="B50" s="37">
        <v>0.08</v>
      </c>
      <c r="C50" s="37">
        <v>0.1</v>
      </c>
      <c r="D50" s="37">
        <v>0</v>
      </c>
      <c r="E50" s="37">
        <v>0</v>
      </c>
      <c r="F50" s="37">
        <v>0.15</v>
      </c>
    </row>
    <row r="51" spans="1:6" x14ac:dyDescent="0.2">
      <c r="A51" s="36" t="s">
        <v>72</v>
      </c>
      <c r="B51" s="37">
        <v>0.08</v>
      </c>
      <c r="C51" s="37">
        <v>0.1</v>
      </c>
      <c r="D51" s="37">
        <v>0</v>
      </c>
      <c r="E51" s="37">
        <v>0</v>
      </c>
      <c r="F51" s="37">
        <v>0.15</v>
      </c>
    </row>
    <row r="52" spans="1:6" x14ac:dyDescent="0.2">
      <c r="A52" s="36" t="s">
        <v>73</v>
      </c>
      <c r="B52" s="37">
        <v>0.08</v>
      </c>
      <c r="C52" s="37">
        <v>0.1</v>
      </c>
      <c r="D52" s="37">
        <v>0</v>
      </c>
      <c r="E52" s="37">
        <v>0</v>
      </c>
      <c r="F52" s="37">
        <v>2.5000000000000001E-2</v>
      </c>
    </row>
    <row r="53" spans="1:6" x14ac:dyDescent="0.2">
      <c r="A53" s="36" t="s">
        <v>74</v>
      </c>
      <c r="B53" s="37">
        <v>0.18</v>
      </c>
      <c r="C53" s="37">
        <v>0.1</v>
      </c>
      <c r="D53" s="37">
        <v>0</v>
      </c>
      <c r="E53" s="37">
        <v>0</v>
      </c>
      <c r="F53" s="37">
        <v>0.15</v>
      </c>
    </row>
    <row r="54" spans="1:6" hidden="1" x14ac:dyDescent="0.2">
      <c r="A54" s="36" t="s">
        <v>131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</row>
    <row r="55" spans="1:6" hidden="1" x14ac:dyDescent="0.2">
      <c r="A55" s="36" t="s">
        <v>105</v>
      </c>
      <c r="B55" s="37">
        <v>0.1</v>
      </c>
      <c r="C55" s="37">
        <v>0.2</v>
      </c>
      <c r="D55" s="37">
        <v>0.1</v>
      </c>
      <c r="E55" s="37">
        <v>0.2</v>
      </c>
      <c r="F55" s="37">
        <v>0.2</v>
      </c>
    </row>
    <row r="56" spans="1:6" hidden="1" x14ac:dyDescent="0.2">
      <c r="A56" s="36" t="s">
        <v>17</v>
      </c>
      <c r="B56" s="37">
        <v>0.18</v>
      </c>
      <c r="C56" s="37">
        <v>0</v>
      </c>
      <c r="D56" s="37">
        <v>0</v>
      </c>
      <c r="E56" s="37">
        <v>0</v>
      </c>
      <c r="F56" s="37">
        <v>0</v>
      </c>
    </row>
    <row r="57" spans="1:6" hidden="1" x14ac:dyDescent="0.2">
      <c r="A57" s="36" t="s">
        <v>18</v>
      </c>
      <c r="B57" s="37">
        <v>0.18</v>
      </c>
      <c r="C57" s="37">
        <v>0</v>
      </c>
      <c r="D57" s="37">
        <v>0</v>
      </c>
      <c r="E57" s="37">
        <v>0</v>
      </c>
      <c r="F57" s="37">
        <v>0</v>
      </c>
    </row>
    <row r="58" spans="1:6" hidden="1" x14ac:dyDescent="0.2">
      <c r="A58" s="36" t="s">
        <v>19</v>
      </c>
      <c r="B58" s="37">
        <v>0.33</v>
      </c>
      <c r="C58" s="37">
        <v>0.05</v>
      </c>
      <c r="D58" s="37">
        <v>0.28000000000000003</v>
      </c>
      <c r="E58" s="37">
        <v>0.1</v>
      </c>
      <c r="F58" s="37">
        <v>0.33</v>
      </c>
    </row>
    <row r="59" spans="1:6" hidden="1" x14ac:dyDescent="0.2">
      <c r="A59" s="36" t="s">
        <v>20</v>
      </c>
      <c r="B59" s="37">
        <v>0.33</v>
      </c>
      <c r="C59" s="37">
        <v>0.05</v>
      </c>
      <c r="D59" s="37">
        <v>0.28000000000000003</v>
      </c>
      <c r="E59" s="37">
        <v>0.1</v>
      </c>
      <c r="F59" s="37">
        <v>0.33</v>
      </c>
    </row>
    <row r="60" spans="1:6" hidden="1" x14ac:dyDescent="0.2">
      <c r="A60" s="36" t="s">
        <v>106</v>
      </c>
      <c r="B60" s="37">
        <v>0</v>
      </c>
      <c r="C60" s="37">
        <v>0.2</v>
      </c>
      <c r="D60" s="37">
        <v>0</v>
      </c>
      <c r="E60" s="37">
        <v>0.2</v>
      </c>
      <c r="F60" s="37">
        <v>0.1</v>
      </c>
    </row>
    <row r="61" spans="1:6" hidden="1" x14ac:dyDescent="0.2">
      <c r="A61" s="36" t="s">
        <v>75</v>
      </c>
      <c r="B61" s="37">
        <v>0.23</v>
      </c>
      <c r="C61" s="37">
        <v>0.28000000000000003</v>
      </c>
      <c r="D61" s="37">
        <v>0</v>
      </c>
      <c r="E61" s="37">
        <v>0</v>
      </c>
      <c r="F61" s="37">
        <v>0.33</v>
      </c>
    </row>
    <row r="62" spans="1:6" hidden="1" x14ac:dyDescent="0.2">
      <c r="A62" s="36" t="s">
        <v>76</v>
      </c>
      <c r="B62" s="37">
        <v>0.23</v>
      </c>
      <c r="C62" s="37">
        <v>0.18</v>
      </c>
      <c r="D62" s="37">
        <v>0</v>
      </c>
      <c r="E62" s="37">
        <v>0</v>
      </c>
      <c r="F62" s="37">
        <v>0.33</v>
      </c>
    </row>
    <row r="63" spans="1:6" hidden="1" x14ac:dyDescent="0.2">
      <c r="A63" s="36" t="s">
        <v>77</v>
      </c>
      <c r="B63" s="37">
        <v>0.23</v>
      </c>
      <c r="C63" s="37">
        <v>0.18</v>
      </c>
      <c r="D63" s="37">
        <v>0</v>
      </c>
      <c r="E63" s="37">
        <v>0</v>
      </c>
      <c r="F63" s="37">
        <v>0.33</v>
      </c>
    </row>
    <row r="64" spans="1:6" hidden="1" x14ac:dyDescent="0.2">
      <c r="A64" s="36" t="s">
        <v>78</v>
      </c>
      <c r="B64" s="37">
        <v>0.33</v>
      </c>
      <c r="C64" s="37">
        <v>0.33</v>
      </c>
      <c r="D64" s="37">
        <v>0.18</v>
      </c>
      <c r="E64" s="37">
        <v>0.28000000000000003</v>
      </c>
      <c r="F64" s="37">
        <v>0.28000000000000003</v>
      </c>
    </row>
    <row r="65" spans="1:6" hidden="1" x14ac:dyDescent="0.2">
      <c r="A65" s="36" t="s">
        <v>79</v>
      </c>
      <c r="B65" s="37">
        <v>0.33</v>
      </c>
      <c r="C65" s="37">
        <v>0.33</v>
      </c>
      <c r="D65" s="37">
        <v>0.18</v>
      </c>
      <c r="E65" s="37">
        <v>0.28000000000000003</v>
      </c>
      <c r="F65" s="37">
        <v>0.28000000000000003</v>
      </c>
    </row>
    <row r="66" spans="1:6" hidden="1" x14ac:dyDescent="0.2">
      <c r="A66" s="36" t="s">
        <v>107</v>
      </c>
      <c r="B66" s="37">
        <v>0.33</v>
      </c>
      <c r="C66" s="37">
        <v>0.28000000000000003</v>
      </c>
      <c r="D66" s="37">
        <v>0.28000000000000003</v>
      </c>
      <c r="E66" s="37">
        <v>0.32</v>
      </c>
      <c r="F66" s="37">
        <v>0.33</v>
      </c>
    </row>
    <row r="67" spans="1:6" hidden="1" x14ac:dyDescent="0.2">
      <c r="A67" s="36" t="s">
        <v>108</v>
      </c>
      <c r="B67" s="37">
        <v>0.33</v>
      </c>
      <c r="C67" s="37">
        <v>0.28000000000000003</v>
      </c>
      <c r="D67" s="37">
        <v>0.28000000000000003</v>
      </c>
      <c r="E67" s="37">
        <v>0.32</v>
      </c>
      <c r="F67" s="37">
        <v>0.33</v>
      </c>
    </row>
  </sheetData>
  <autoFilter ref="A4:K67" xr:uid="{27949461-B8A0-4DC1-ABB4-F2A8E12F8C2C}">
    <filterColumn colId="0">
      <filters>
        <filter val="RAJASTHAN - JAIPUR"/>
        <filter val="RAJASTHAN - JAIPUR SURRONDING"/>
        <filter val="RAJASTHAN - REST"/>
        <filter val="RAJASTHAN - UDAIPUR &amp; SURRONDING"/>
      </filters>
    </filterColumn>
    <filterColumn colId="1" showButton="0"/>
  </autoFilter>
  <mergeCells count="5">
    <mergeCell ref="A1:F1"/>
    <mergeCell ref="B4:C4"/>
    <mergeCell ref="D4:D5"/>
    <mergeCell ref="E4:E5"/>
    <mergeCell ref="F4:F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20A9-E87E-4116-8002-44BBA8B1C3CF}">
  <dimension ref="A1:G20"/>
  <sheetViews>
    <sheetView workbookViewId="0">
      <selection activeCell="A3" sqref="A3"/>
    </sheetView>
  </sheetViews>
  <sheetFormatPr defaultColWidth="9.140625" defaultRowHeight="11.25" x14ac:dyDescent="0.2"/>
  <cols>
    <col min="1" max="1" width="52.42578125" style="8" bestFit="1" customWidth="1"/>
    <col min="2" max="3" width="6.28515625" style="8" bestFit="1" customWidth="1"/>
    <col min="4" max="5" width="8" style="8" bestFit="1" customWidth="1"/>
    <col min="6" max="6" width="15.42578125" style="8" bestFit="1" customWidth="1"/>
    <col min="7" max="16384" width="9.140625" style="8"/>
  </cols>
  <sheetData>
    <row r="1" spans="1:7" x14ac:dyDescent="0.2">
      <c r="A1" s="140" t="s">
        <v>122</v>
      </c>
      <c r="B1" s="140"/>
      <c r="C1" s="140"/>
      <c r="D1" s="140"/>
      <c r="E1" s="140"/>
      <c r="F1" s="141"/>
    </row>
    <row r="2" spans="1:7" x14ac:dyDescent="0.2">
      <c r="A2" s="1" t="s">
        <v>31</v>
      </c>
      <c r="B2" s="142" t="s">
        <v>87</v>
      </c>
      <c r="C2" s="142"/>
      <c r="D2" s="142" t="s">
        <v>88</v>
      </c>
      <c r="E2" s="142" t="s">
        <v>89</v>
      </c>
      <c r="F2" s="143" t="s">
        <v>90</v>
      </c>
    </row>
    <row r="3" spans="1:7" x14ac:dyDescent="0.2">
      <c r="A3" s="1" t="s">
        <v>33</v>
      </c>
      <c r="B3" s="10" t="s">
        <v>91</v>
      </c>
      <c r="C3" s="10" t="s">
        <v>92</v>
      </c>
      <c r="D3" s="142"/>
      <c r="E3" s="142"/>
      <c r="F3" s="143"/>
    </row>
    <row r="4" spans="1:7" x14ac:dyDescent="0.2">
      <c r="A4" s="15" t="s">
        <v>62</v>
      </c>
      <c r="B4" s="6">
        <v>0.33</v>
      </c>
      <c r="C4" s="6">
        <v>0.13</v>
      </c>
      <c r="D4" s="6">
        <v>0.18</v>
      </c>
      <c r="E4" s="6">
        <v>0.32</v>
      </c>
      <c r="F4" s="7">
        <v>0.33</v>
      </c>
      <c r="G4" s="8" t="str">
        <f>VLOOKUP(A4,'CV SATP_R'!$A$6:$A$67,1,0)</f>
        <v>CHANDIGARH(TRICITY)</v>
      </c>
    </row>
    <row r="5" spans="1:7" x14ac:dyDescent="0.2">
      <c r="A5" s="15" t="s">
        <v>63</v>
      </c>
      <c r="B5" s="6">
        <v>0.33</v>
      </c>
      <c r="C5" s="6">
        <v>0.18</v>
      </c>
      <c r="D5" s="6">
        <v>0.18</v>
      </c>
      <c r="E5" s="6">
        <v>0.08</v>
      </c>
      <c r="F5" s="7">
        <v>0.61</v>
      </c>
      <c r="G5" s="8" t="str">
        <f>VLOOKUP(A5,'CV SATP_R'!$A$6:$A$67,1,0)</f>
        <v>DELHI - NCR</v>
      </c>
    </row>
    <row r="6" spans="1:7" x14ac:dyDescent="0.2">
      <c r="A6" s="15" t="s">
        <v>65</v>
      </c>
      <c r="B6" s="6">
        <v>0.33</v>
      </c>
      <c r="C6" s="6">
        <v>0.28000000000000003</v>
      </c>
      <c r="D6" s="6">
        <v>0.33</v>
      </c>
      <c r="E6" s="6">
        <v>0.28000000000000003</v>
      </c>
      <c r="F6" s="7">
        <v>0.33</v>
      </c>
      <c r="G6" s="8" t="str">
        <f>VLOOKUP(A6,'CV SATP_R'!$A$6:$A$67,1,0)</f>
        <v>HIMACHAL PRADESH - BILASPUR, MANDI, SOLAN, SHIMLA &amp; MANALI</v>
      </c>
    </row>
    <row r="7" spans="1:7" x14ac:dyDescent="0.2">
      <c r="A7" s="15" t="s">
        <v>66</v>
      </c>
      <c r="B7" s="6">
        <v>0.33</v>
      </c>
      <c r="C7" s="6">
        <v>0.28000000000000003</v>
      </c>
      <c r="D7" s="6">
        <v>0.33</v>
      </c>
      <c r="E7" s="6">
        <v>0.4</v>
      </c>
      <c r="F7" s="7">
        <v>0.33</v>
      </c>
      <c r="G7" s="8" t="str">
        <f>VLOOKUP(A7,'CV SATP_R'!$A$6:$A$67,1,0)</f>
        <v>HIMACHAL PRADESH - REST</v>
      </c>
    </row>
    <row r="8" spans="1:7" x14ac:dyDescent="0.2">
      <c r="A8" s="15" t="s">
        <v>67</v>
      </c>
      <c r="B8" s="6">
        <v>0.33</v>
      </c>
      <c r="C8" s="6">
        <v>0.28000000000000003</v>
      </c>
      <c r="D8" s="6">
        <v>0.33</v>
      </c>
      <c r="E8" s="6">
        <v>0.4</v>
      </c>
      <c r="F8" s="7">
        <v>0</v>
      </c>
      <c r="G8" s="8" t="str">
        <f>VLOOKUP(A8,'CV SATP_R'!$A$6:$A$67,1,0)</f>
        <v>JAMMU &amp; KASHMIR - JAMMU</v>
      </c>
    </row>
    <row r="9" spans="1:7" x14ac:dyDescent="0.2">
      <c r="A9" s="15" t="s">
        <v>68</v>
      </c>
      <c r="B9" s="6">
        <v>0.33</v>
      </c>
      <c r="C9" s="6">
        <v>0.28000000000000003</v>
      </c>
      <c r="D9" s="6">
        <v>0.33</v>
      </c>
      <c r="E9" s="6">
        <v>0.4</v>
      </c>
      <c r="F9" s="7">
        <v>0</v>
      </c>
      <c r="G9" s="8" t="str">
        <f>VLOOKUP(A9,'CV SATP_R'!$A$6:$A$67,1,0)</f>
        <v>JAMMU &amp; KASHMIR - REST</v>
      </c>
    </row>
    <row r="10" spans="1:7" x14ac:dyDescent="0.2">
      <c r="A10" s="15" t="s">
        <v>69</v>
      </c>
      <c r="B10" s="6">
        <v>0.33</v>
      </c>
      <c r="C10" s="6">
        <v>0.18</v>
      </c>
      <c r="D10" s="6">
        <v>0.18</v>
      </c>
      <c r="E10" s="6">
        <v>0.18</v>
      </c>
      <c r="F10" s="7">
        <v>0.33</v>
      </c>
      <c r="G10" s="8" t="str">
        <f>VLOOKUP(A10,'CV SATP_R'!$A$6:$A$67,1,0)</f>
        <v>PUNJAB - AMRITSAR &amp; SURRONDING</v>
      </c>
    </row>
    <row r="11" spans="1:7" x14ac:dyDescent="0.2">
      <c r="A11" s="15" t="s">
        <v>70</v>
      </c>
      <c r="B11" s="6">
        <v>0.33</v>
      </c>
      <c r="C11" s="6">
        <v>0.18</v>
      </c>
      <c r="D11" s="6">
        <v>0.18</v>
      </c>
      <c r="E11" s="6">
        <v>0.18</v>
      </c>
      <c r="F11" s="7">
        <v>0.33</v>
      </c>
      <c r="G11" s="8" t="str">
        <f>VLOOKUP(A11,'CV SATP_R'!$A$6:$A$67,1,0)</f>
        <v>PUNJAB - LUDHIANA &amp; SURRONDING</v>
      </c>
    </row>
    <row r="12" spans="1:7" x14ac:dyDescent="0.2">
      <c r="A12" s="15" t="s">
        <v>71</v>
      </c>
      <c r="B12" s="6">
        <v>0.08</v>
      </c>
      <c r="C12" s="6">
        <v>0.1</v>
      </c>
      <c r="D12" s="6">
        <v>0</v>
      </c>
      <c r="E12" s="6">
        <v>0</v>
      </c>
      <c r="F12" s="7">
        <v>0.15</v>
      </c>
      <c r="G12" s="8" t="str">
        <f>VLOOKUP(A12,'CV SATP_R'!$A$6:$A$67,1,0)</f>
        <v>RAJASTHAN - JAIPUR</v>
      </c>
    </row>
    <row r="13" spans="1:7" x14ac:dyDescent="0.2">
      <c r="A13" s="15" t="s">
        <v>72</v>
      </c>
      <c r="B13" s="6">
        <v>0.08</v>
      </c>
      <c r="C13" s="6">
        <v>0.1</v>
      </c>
      <c r="D13" s="6">
        <v>0</v>
      </c>
      <c r="E13" s="6">
        <v>0</v>
      </c>
      <c r="F13" s="7">
        <v>0.15</v>
      </c>
      <c r="G13" s="8" t="str">
        <f>VLOOKUP(A13,'CV SATP_R'!$A$6:$A$67,1,0)</f>
        <v>RAJASTHAN - JAIPUR SURRONDING</v>
      </c>
    </row>
    <row r="14" spans="1:7" x14ac:dyDescent="0.2">
      <c r="A14" s="15" t="s">
        <v>73</v>
      </c>
      <c r="B14" s="6">
        <v>0.08</v>
      </c>
      <c r="C14" s="6">
        <v>0.1</v>
      </c>
      <c r="D14" s="6">
        <v>0</v>
      </c>
      <c r="E14" s="6">
        <v>0</v>
      </c>
      <c r="F14" s="7">
        <v>2.5000000000000001E-2</v>
      </c>
      <c r="G14" s="8" t="str">
        <f>VLOOKUP(A14,'CV SATP_R'!$A$6:$A$67,1,0)</f>
        <v>RAJASTHAN - REST</v>
      </c>
    </row>
    <row r="15" spans="1:7" x14ac:dyDescent="0.2">
      <c r="A15" s="15" t="s">
        <v>74</v>
      </c>
      <c r="B15" s="6">
        <v>0.18</v>
      </c>
      <c r="C15" s="6">
        <v>0.1</v>
      </c>
      <c r="D15" s="6">
        <v>0</v>
      </c>
      <c r="E15" s="6">
        <v>0</v>
      </c>
      <c r="F15" s="7">
        <v>0.15</v>
      </c>
      <c r="G15" s="8" t="str">
        <f>VLOOKUP(A15,'CV SATP_R'!$A$6:$A$67,1,0)</f>
        <v>RAJASTHAN - UDAIPUR &amp; SURRONDING</v>
      </c>
    </row>
    <row r="16" spans="1:7" x14ac:dyDescent="0.2">
      <c r="A16" s="15" t="s">
        <v>75</v>
      </c>
      <c r="B16" s="6">
        <v>0.23</v>
      </c>
      <c r="C16" s="6">
        <v>0.28000000000000003</v>
      </c>
      <c r="D16" s="6">
        <v>0</v>
      </c>
      <c r="E16" s="6">
        <v>0</v>
      </c>
      <c r="F16" s="7">
        <v>0.33</v>
      </c>
      <c r="G16" s="8" t="str">
        <f>VLOOKUP(A16,'CV SATP_R'!$A$6:$A$67,1,0)</f>
        <v>UTTAR PRADESH - LUCKNOW, ALLAHABAD, GORAKHPUR, KANPUR &amp; VARANASI</v>
      </c>
    </row>
    <row r="17" spans="1:7" x14ac:dyDescent="0.2">
      <c r="A17" s="15" t="s">
        <v>76</v>
      </c>
      <c r="B17" s="6">
        <v>0.23</v>
      </c>
      <c r="C17" s="6">
        <v>0.18</v>
      </c>
      <c r="D17" s="6">
        <v>0</v>
      </c>
      <c r="E17" s="6">
        <v>0</v>
      </c>
      <c r="F17" s="7">
        <v>0.33</v>
      </c>
      <c r="G17" s="8" t="str">
        <f>VLOOKUP(A17,'CV SATP_R'!$A$6:$A$67,1,0)</f>
        <v>UTTAR PRADESH - REST</v>
      </c>
    </row>
    <row r="18" spans="1:7" x14ac:dyDescent="0.2">
      <c r="A18" s="15" t="s">
        <v>77</v>
      </c>
      <c r="B18" s="6">
        <v>0.23</v>
      </c>
      <c r="C18" s="6">
        <v>0.18</v>
      </c>
      <c r="D18" s="6">
        <v>0</v>
      </c>
      <c r="E18" s="6">
        <v>0</v>
      </c>
      <c r="F18" s="7">
        <v>0.33</v>
      </c>
      <c r="G18" s="8" t="str">
        <f>VLOOKUP(A18,'CV SATP_R'!$A$6:$A$67,1,0)</f>
        <v>UTTAR PRADESH - WEST</v>
      </c>
    </row>
    <row r="19" spans="1:7" x14ac:dyDescent="0.2">
      <c r="A19" s="15" t="s">
        <v>78</v>
      </c>
      <c r="B19" s="6">
        <v>0.33</v>
      </c>
      <c r="C19" s="6">
        <v>0.33</v>
      </c>
      <c r="D19" s="6">
        <v>0.18</v>
      </c>
      <c r="E19" s="6">
        <v>0.28000000000000003</v>
      </c>
      <c r="F19" s="7">
        <v>0.28000000000000003</v>
      </c>
      <c r="G19" s="8" t="str">
        <f>VLOOKUP(A19,'CV SATP_R'!$A$6:$A$67,1,0)</f>
        <v>UTTARAKHAND - DEHRADUN</v>
      </c>
    </row>
    <row r="20" spans="1:7" x14ac:dyDescent="0.2">
      <c r="A20" s="15" t="s">
        <v>79</v>
      </c>
      <c r="B20" s="6">
        <v>0.33</v>
      </c>
      <c r="C20" s="6">
        <v>0.33</v>
      </c>
      <c r="D20" s="6">
        <v>0.18</v>
      </c>
      <c r="E20" s="6">
        <v>0.28000000000000003</v>
      </c>
      <c r="F20" s="7">
        <v>0.28000000000000003</v>
      </c>
      <c r="G20" s="8" t="str">
        <f>VLOOKUP(A20,'CV SATP_R'!$A$6:$A$67,1,0)</f>
        <v>UTTARAKHAND - REST</v>
      </c>
    </row>
  </sheetData>
  <mergeCells count="5">
    <mergeCell ref="A1:F1"/>
    <mergeCell ref="B2:C2"/>
    <mergeCell ref="D2:D3"/>
    <mergeCell ref="E2:E3"/>
    <mergeCell ref="F2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0854-C724-449C-B580-ECF16AC58FA5}">
  <sheetPr filterMode="1"/>
  <dimension ref="A1:L77"/>
  <sheetViews>
    <sheetView workbookViewId="0">
      <selection activeCell="G18" sqref="G18:G45"/>
    </sheetView>
  </sheetViews>
  <sheetFormatPr defaultColWidth="9.140625" defaultRowHeight="11.25" x14ac:dyDescent="0.2"/>
  <cols>
    <col min="1" max="1" width="20.5703125" style="8" bestFit="1" customWidth="1"/>
    <col min="2" max="2" width="52.42578125" style="8" bestFit="1" customWidth="1"/>
    <col min="3" max="3" width="10.7109375" style="8" bestFit="1" customWidth="1"/>
    <col min="4" max="4" width="13.42578125" style="8" bestFit="1" customWidth="1"/>
    <col min="5" max="5" width="12.28515625" style="8" bestFit="1" customWidth="1"/>
    <col min="6" max="6" width="11.85546875" style="8" bestFit="1" customWidth="1"/>
    <col min="7" max="7" width="9.28515625" style="8" bestFit="1" customWidth="1"/>
    <col min="8" max="8" width="9.140625" style="8"/>
    <col min="9" max="9" width="11.28515625" style="8" bestFit="1" customWidth="1"/>
    <col min="10" max="10" width="13.140625" style="8" bestFit="1" customWidth="1"/>
    <col min="11" max="11" width="14" style="8" bestFit="1" customWidth="1"/>
    <col min="12" max="12" width="12.140625" style="8" bestFit="1" customWidth="1"/>
    <col min="13" max="16384" width="9.140625" style="8"/>
  </cols>
  <sheetData>
    <row r="1" spans="1:12" ht="12" thickBot="1" x14ac:dyDescent="0.25"/>
    <row r="2" spans="1:12" ht="12" thickBot="1" x14ac:dyDescent="0.25">
      <c r="B2" s="130" t="s">
        <v>260</v>
      </c>
      <c r="C2" s="131"/>
      <c r="D2" s="131"/>
      <c r="E2" s="131"/>
      <c r="F2" s="131"/>
      <c r="G2" s="131"/>
    </row>
    <row r="3" spans="1:12" x14ac:dyDescent="0.2">
      <c r="I3" s="144" t="s">
        <v>32</v>
      </c>
      <c r="J3" s="144"/>
      <c r="K3" s="144"/>
      <c r="L3" s="144"/>
    </row>
    <row r="4" spans="1:12" x14ac:dyDescent="0.2">
      <c r="C4" s="144" t="s">
        <v>32</v>
      </c>
      <c r="D4" s="144"/>
      <c r="E4" s="144"/>
      <c r="F4" s="144"/>
      <c r="G4" s="1" t="s">
        <v>30</v>
      </c>
      <c r="I4" s="145" t="s">
        <v>212</v>
      </c>
      <c r="J4" s="145"/>
      <c r="K4" s="145"/>
      <c r="L4" s="145"/>
    </row>
    <row r="5" spans="1:12" x14ac:dyDescent="0.2">
      <c r="A5" s="45" t="s">
        <v>143</v>
      </c>
      <c r="B5" s="45" t="s">
        <v>144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261</v>
      </c>
      <c r="I5" s="51" t="s">
        <v>34</v>
      </c>
      <c r="J5" s="51" t="s">
        <v>213</v>
      </c>
      <c r="K5" s="51" t="s">
        <v>214</v>
      </c>
      <c r="L5" s="51" t="s">
        <v>215</v>
      </c>
    </row>
    <row r="6" spans="1:12" hidden="1" x14ac:dyDescent="0.2">
      <c r="A6" s="42" t="s">
        <v>145</v>
      </c>
      <c r="B6" s="42" t="s">
        <v>7</v>
      </c>
      <c r="C6" s="91">
        <v>0.5</v>
      </c>
      <c r="D6" s="91">
        <v>0.53</v>
      </c>
      <c r="E6" s="91">
        <v>0.5</v>
      </c>
      <c r="F6" s="91">
        <v>0.32</v>
      </c>
      <c r="G6" s="91">
        <v>0.63</v>
      </c>
      <c r="I6" s="52">
        <v>0.41</v>
      </c>
      <c r="J6" s="52">
        <v>0.41</v>
      </c>
      <c r="K6" s="52">
        <v>0.28000000000000003</v>
      </c>
      <c r="L6" s="52">
        <v>0.28000000000000003</v>
      </c>
    </row>
    <row r="7" spans="1:12" hidden="1" x14ac:dyDescent="0.2">
      <c r="A7" s="42" t="s">
        <v>146</v>
      </c>
      <c r="B7" s="42" t="s">
        <v>10</v>
      </c>
      <c r="C7" s="91">
        <v>0.5</v>
      </c>
      <c r="D7" s="91">
        <v>0.53</v>
      </c>
      <c r="E7" s="91">
        <v>0.5</v>
      </c>
      <c r="F7" s="91">
        <v>0.32</v>
      </c>
      <c r="G7" s="91">
        <v>0.63</v>
      </c>
      <c r="I7" s="52" t="e">
        <v>#N/A</v>
      </c>
      <c r="J7" s="52" t="e">
        <v>#N/A</v>
      </c>
      <c r="K7" s="52" t="e">
        <v>#N/A</v>
      </c>
      <c r="L7" s="52" t="e">
        <v>#N/A</v>
      </c>
    </row>
    <row r="8" spans="1:12" hidden="1" x14ac:dyDescent="0.2">
      <c r="A8" s="42" t="s">
        <v>147</v>
      </c>
      <c r="B8" s="42" t="s">
        <v>9</v>
      </c>
      <c r="C8" s="91">
        <v>0</v>
      </c>
      <c r="D8" s="91">
        <v>0</v>
      </c>
      <c r="E8" s="91">
        <v>0.25</v>
      </c>
      <c r="F8" s="91">
        <v>0.4</v>
      </c>
      <c r="G8" s="91">
        <v>0.63</v>
      </c>
      <c r="I8" s="52">
        <v>0.38900000000000001</v>
      </c>
      <c r="J8" s="52">
        <v>0.26845970000111696</v>
      </c>
      <c r="K8" s="52">
        <v>0.32211797788740826</v>
      </c>
      <c r="L8" s="52">
        <v>0.38900000000000001</v>
      </c>
    </row>
    <row r="9" spans="1:12" hidden="1" x14ac:dyDescent="0.2">
      <c r="A9" s="42" t="s">
        <v>93</v>
      </c>
      <c r="B9" s="42" t="s">
        <v>93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I9" s="52">
        <v>0</v>
      </c>
      <c r="J9" s="52">
        <v>0</v>
      </c>
      <c r="K9" s="52">
        <v>0</v>
      </c>
      <c r="L9" s="52">
        <v>0</v>
      </c>
    </row>
    <row r="10" spans="1:12" hidden="1" x14ac:dyDescent="0.2">
      <c r="A10" s="42" t="s">
        <v>148</v>
      </c>
      <c r="B10" s="42" t="s">
        <v>94</v>
      </c>
      <c r="C10" s="59">
        <v>0</v>
      </c>
      <c r="D10" s="59">
        <v>0</v>
      </c>
      <c r="E10" s="59">
        <v>0</v>
      </c>
      <c r="F10" s="59">
        <v>0</v>
      </c>
      <c r="G10" s="59">
        <v>0</v>
      </c>
      <c r="I10" s="52" t="e">
        <v>#N/A</v>
      </c>
      <c r="J10" s="52" t="e">
        <v>#N/A</v>
      </c>
      <c r="K10" s="52" t="e">
        <v>#N/A</v>
      </c>
      <c r="L10" s="52" t="e">
        <v>#N/A</v>
      </c>
    </row>
    <row r="11" spans="1:12" hidden="1" x14ac:dyDescent="0.2">
      <c r="A11" s="42" t="s">
        <v>149</v>
      </c>
      <c r="B11" s="42" t="s">
        <v>96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  <c r="I11" s="52">
        <v>0</v>
      </c>
      <c r="J11" s="52">
        <v>0</v>
      </c>
      <c r="K11" s="52">
        <v>0</v>
      </c>
      <c r="L11" s="52">
        <v>0</v>
      </c>
    </row>
    <row r="12" spans="1:12" hidden="1" x14ac:dyDescent="0.2">
      <c r="A12" s="42" t="s">
        <v>150</v>
      </c>
      <c r="B12" s="42" t="s">
        <v>95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  <c r="I12" s="52">
        <v>0</v>
      </c>
      <c r="J12" s="52">
        <v>0</v>
      </c>
      <c r="K12" s="52">
        <v>0</v>
      </c>
      <c r="L12" s="52">
        <v>0</v>
      </c>
    </row>
    <row r="13" spans="1:12" hidden="1" x14ac:dyDescent="0.2">
      <c r="A13" s="42" t="s">
        <v>97</v>
      </c>
      <c r="B13" s="42" t="s">
        <v>97</v>
      </c>
      <c r="C13" s="91">
        <v>0.5</v>
      </c>
      <c r="D13" s="91">
        <v>0.55000000000000004</v>
      </c>
      <c r="E13" s="91">
        <v>0.5</v>
      </c>
      <c r="F13" s="91">
        <v>0.55000000000000004</v>
      </c>
      <c r="G13" s="91">
        <v>0.6</v>
      </c>
      <c r="I13" s="52">
        <v>0</v>
      </c>
      <c r="J13" s="52">
        <v>0</v>
      </c>
      <c r="K13" s="52">
        <v>0</v>
      </c>
      <c r="L13" s="52">
        <v>0</v>
      </c>
    </row>
    <row r="14" spans="1:12" hidden="1" x14ac:dyDescent="0.2">
      <c r="A14" s="42" t="s">
        <v>62</v>
      </c>
      <c r="B14" s="42" t="s">
        <v>62</v>
      </c>
      <c r="C14" s="91">
        <v>0.44</v>
      </c>
      <c r="D14" s="91">
        <v>0.44</v>
      </c>
      <c r="E14" s="91">
        <v>0.44</v>
      </c>
      <c r="F14" s="91">
        <v>0.4</v>
      </c>
      <c r="G14" s="91">
        <v>0.57999999999999996</v>
      </c>
      <c r="I14" s="53">
        <v>0.36575105322356438</v>
      </c>
      <c r="J14" s="53">
        <v>0.24007668818964356</v>
      </c>
      <c r="K14" s="53">
        <v>0.32758262033778562</v>
      </c>
      <c r="L14" s="53">
        <v>0.38900000000000001</v>
      </c>
    </row>
    <row r="15" spans="1:12" hidden="1" x14ac:dyDescent="0.2">
      <c r="A15" s="42" t="s">
        <v>151</v>
      </c>
      <c r="B15" s="42" t="s">
        <v>109</v>
      </c>
      <c r="C15" s="91">
        <v>0.5</v>
      </c>
      <c r="D15" s="91">
        <v>0.4</v>
      </c>
      <c r="E15" s="91">
        <v>0.46</v>
      </c>
      <c r="F15" s="91">
        <v>0.5</v>
      </c>
      <c r="G15" s="91">
        <v>0.5</v>
      </c>
      <c r="I15" s="52">
        <v>0</v>
      </c>
      <c r="J15" s="52">
        <v>0</v>
      </c>
      <c r="K15" s="52">
        <v>0</v>
      </c>
      <c r="L15" s="52">
        <v>0</v>
      </c>
    </row>
    <row r="16" spans="1:12" hidden="1" x14ac:dyDescent="0.2">
      <c r="A16" s="42" t="s">
        <v>152</v>
      </c>
      <c r="B16" s="42" t="s">
        <v>110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  <c r="I16" s="52">
        <v>0</v>
      </c>
      <c r="J16" s="52">
        <v>0</v>
      </c>
      <c r="K16" s="52">
        <v>0</v>
      </c>
      <c r="L16" s="52">
        <v>0</v>
      </c>
    </row>
    <row r="17" spans="1:12" hidden="1" x14ac:dyDescent="0.2">
      <c r="A17" s="42" t="s">
        <v>63</v>
      </c>
      <c r="B17" s="42" t="s">
        <v>63</v>
      </c>
      <c r="C17" s="91">
        <v>0.5</v>
      </c>
      <c r="D17" s="91">
        <v>0.5</v>
      </c>
      <c r="E17" s="91">
        <v>0.5</v>
      </c>
      <c r="F17" s="91">
        <v>0.5</v>
      </c>
      <c r="G17" s="91">
        <v>0.62</v>
      </c>
      <c r="I17" s="52">
        <v>0.32</v>
      </c>
      <c r="J17" s="52">
        <v>0.15</v>
      </c>
      <c r="K17" s="52">
        <v>0.23</v>
      </c>
      <c r="L17" s="52">
        <v>0.37</v>
      </c>
    </row>
    <row r="18" spans="1:12" x14ac:dyDescent="0.2">
      <c r="A18" s="42" t="s">
        <v>52</v>
      </c>
      <c r="B18" s="42" t="s">
        <v>52</v>
      </c>
      <c r="C18" s="91">
        <v>0.5</v>
      </c>
      <c r="D18" s="91">
        <v>0.5</v>
      </c>
      <c r="E18" s="91">
        <v>0.5</v>
      </c>
      <c r="F18" s="91">
        <v>0.5</v>
      </c>
      <c r="G18" s="91">
        <v>0.6</v>
      </c>
      <c r="I18" s="52">
        <v>0.39</v>
      </c>
      <c r="J18" s="52">
        <v>0.39</v>
      </c>
      <c r="K18" s="52">
        <v>0.39</v>
      </c>
      <c r="L18" s="52">
        <v>0.39</v>
      </c>
    </row>
    <row r="19" spans="1:12" hidden="1" x14ac:dyDescent="0.2">
      <c r="A19" s="42" t="s">
        <v>153</v>
      </c>
      <c r="B19" s="42" t="s">
        <v>113</v>
      </c>
      <c r="C19" s="91">
        <v>0.5</v>
      </c>
      <c r="D19" s="91">
        <v>0.5</v>
      </c>
      <c r="E19" s="91">
        <v>0.5</v>
      </c>
      <c r="F19" s="91">
        <v>0.5</v>
      </c>
      <c r="G19" s="91">
        <v>0.6</v>
      </c>
      <c r="I19" s="52">
        <v>0.38900000000000001</v>
      </c>
      <c r="J19" s="52">
        <v>0.34407270701749626</v>
      </c>
      <c r="K19" s="52">
        <v>0.38820940136557036</v>
      </c>
      <c r="L19" s="52">
        <v>0.38900000000000001</v>
      </c>
    </row>
    <row r="20" spans="1:12" hidden="1" x14ac:dyDescent="0.2">
      <c r="A20" s="42" t="s">
        <v>154</v>
      </c>
      <c r="B20" s="42" t="s">
        <v>116</v>
      </c>
      <c r="C20" s="91">
        <v>0.5</v>
      </c>
      <c r="D20" s="91">
        <v>0.5</v>
      </c>
      <c r="E20" s="91">
        <v>0.5</v>
      </c>
      <c r="F20" s="91">
        <v>0.5</v>
      </c>
      <c r="G20" s="91">
        <v>0.6</v>
      </c>
      <c r="I20" s="52" t="e">
        <v>#N/A</v>
      </c>
      <c r="J20" s="52" t="e">
        <v>#N/A</v>
      </c>
      <c r="K20" s="52" t="e">
        <v>#N/A</v>
      </c>
      <c r="L20" s="52" t="e">
        <v>#N/A</v>
      </c>
    </row>
    <row r="21" spans="1:12" hidden="1" x14ac:dyDescent="0.2">
      <c r="A21" s="42" t="s">
        <v>155</v>
      </c>
      <c r="B21" s="42" t="s">
        <v>114</v>
      </c>
      <c r="C21" s="91">
        <v>0.5</v>
      </c>
      <c r="D21" s="91">
        <v>0.5</v>
      </c>
      <c r="E21" s="91">
        <v>0.5</v>
      </c>
      <c r="F21" s="91">
        <v>0.5</v>
      </c>
      <c r="G21" s="91">
        <v>0.6</v>
      </c>
      <c r="I21" s="52">
        <v>0</v>
      </c>
      <c r="J21" s="52">
        <v>0</v>
      </c>
      <c r="K21" s="52">
        <v>0</v>
      </c>
      <c r="L21" s="52">
        <v>0</v>
      </c>
    </row>
    <row r="22" spans="1:12" hidden="1" x14ac:dyDescent="0.2">
      <c r="A22" s="42" t="s">
        <v>156</v>
      </c>
      <c r="B22" s="42" t="s">
        <v>114</v>
      </c>
      <c r="C22" s="59">
        <v>0</v>
      </c>
      <c r="D22" s="59">
        <v>0</v>
      </c>
      <c r="E22" s="59">
        <v>0</v>
      </c>
      <c r="F22" s="59">
        <v>0</v>
      </c>
      <c r="G22" s="91">
        <v>0.54</v>
      </c>
      <c r="I22" s="52">
        <v>0</v>
      </c>
      <c r="J22" s="52">
        <v>0</v>
      </c>
      <c r="K22" s="52">
        <v>0</v>
      </c>
      <c r="L22" s="52">
        <v>0</v>
      </c>
    </row>
    <row r="23" spans="1:12" hidden="1" x14ac:dyDescent="0.2">
      <c r="A23" s="42" t="s">
        <v>157</v>
      </c>
      <c r="B23" s="42" t="s">
        <v>115</v>
      </c>
      <c r="C23" s="91">
        <v>0.5</v>
      </c>
      <c r="D23" s="91">
        <v>0.5</v>
      </c>
      <c r="E23" s="91">
        <v>0.5</v>
      </c>
      <c r="F23" s="91">
        <v>0.5</v>
      </c>
      <c r="G23" s="91">
        <v>0.6</v>
      </c>
      <c r="I23" s="52" t="e">
        <v>#N/A</v>
      </c>
      <c r="J23" s="52" t="e">
        <v>#N/A</v>
      </c>
      <c r="K23" s="52" t="e">
        <v>#N/A</v>
      </c>
      <c r="L23" s="52" t="e">
        <v>#N/A</v>
      </c>
    </row>
    <row r="24" spans="1:12" hidden="1" x14ac:dyDescent="0.2">
      <c r="A24" s="42" t="s">
        <v>158</v>
      </c>
      <c r="B24" s="42" t="s">
        <v>64</v>
      </c>
      <c r="C24" s="59">
        <v>0</v>
      </c>
      <c r="D24" s="59">
        <v>0</v>
      </c>
      <c r="E24" s="59">
        <v>0</v>
      </c>
      <c r="F24" s="59">
        <v>0</v>
      </c>
      <c r="G24" s="59">
        <v>0</v>
      </c>
      <c r="I24" s="52">
        <v>0</v>
      </c>
      <c r="J24" s="52">
        <v>0</v>
      </c>
      <c r="K24" s="52">
        <v>0</v>
      </c>
      <c r="L24" s="52">
        <v>0</v>
      </c>
    </row>
    <row r="25" spans="1:12" hidden="1" x14ac:dyDescent="0.2">
      <c r="A25" s="42" t="s">
        <v>159</v>
      </c>
      <c r="B25" s="42" t="s">
        <v>65</v>
      </c>
      <c r="C25" s="91">
        <v>0.46</v>
      </c>
      <c r="D25" s="91">
        <v>0.46</v>
      </c>
      <c r="E25" s="91">
        <v>0.46</v>
      </c>
      <c r="F25" s="91">
        <v>0.46</v>
      </c>
      <c r="G25" s="91">
        <v>0.6</v>
      </c>
      <c r="I25" s="53">
        <v>0.37165656364731436</v>
      </c>
      <c r="J25" s="53">
        <v>0.26287349007256422</v>
      </c>
      <c r="K25" s="53">
        <v>0.33697228389683476</v>
      </c>
      <c r="L25" s="53">
        <v>0.38900000000000001</v>
      </c>
    </row>
    <row r="26" spans="1:12" hidden="1" x14ac:dyDescent="0.2">
      <c r="A26" s="42" t="s">
        <v>160</v>
      </c>
      <c r="B26" s="42" t="s">
        <v>66</v>
      </c>
      <c r="C26" s="91">
        <v>0.46</v>
      </c>
      <c r="D26" s="91">
        <v>0.46</v>
      </c>
      <c r="E26" s="91">
        <v>0.46</v>
      </c>
      <c r="F26" s="91">
        <v>0.46</v>
      </c>
      <c r="G26" s="91">
        <v>0.6</v>
      </c>
      <c r="I26" s="52">
        <v>0.37295694211438324</v>
      </c>
      <c r="J26" s="52">
        <v>0.25020398111645714</v>
      </c>
      <c r="K26" s="52">
        <v>0.33898616922758995</v>
      </c>
      <c r="L26" s="52">
        <v>0.38900000000000001</v>
      </c>
    </row>
    <row r="27" spans="1:12" hidden="1" x14ac:dyDescent="0.2">
      <c r="A27" s="42" t="s">
        <v>161</v>
      </c>
      <c r="B27" s="42" t="s">
        <v>67</v>
      </c>
      <c r="C27" s="91">
        <v>0.48</v>
      </c>
      <c r="D27" s="91">
        <v>0.24</v>
      </c>
      <c r="E27" s="91">
        <v>0.28000000000000003</v>
      </c>
      <c r="F27" s="91">
        <v>0.48</v>
      </c>
      <c r="G27" s="91">
        <v>0.5</v>
      </c>
      <c r="I27" s="53">
        <v>0.22311137438490936</v>
      </c>
      <c r="J27" s="53">
        <v>3.8676616415209919E-2</v>
      </c>
      <c r="K27" s="53">
        <v>0.14169177931121557</v>
      </c>
      <c r="L27" s="53">
        <v>0.32641664631233769</v>
      </c>
    </row>
    <row r="28" spans="1:12" hidden="1" x14ac:dyDescent="0.2">
      <c r="A28" s="42" t="s">
        <v>162</v>
      </c>
      <c r="B28" s="42" t="s">
        <v>68</v>
      </c>
      <c r="C28" s="91">
        <v>0.48</v>
      </c>
      <c r="D28" s="91">
        <v>0.48</v>
      </c>
      <c r="E28" s="91">
        <v>0.48</v>
      </c>
      <c r="F28" s="91">
        <v>0.48</v>
      </c>
      <c r="G28" s="91">
        <v>0.5</v>
      </c>
      <c r="I28" s="52">
        <v>0.4</v>
      </c>
      <c r="J28" s="52">
        <v>0.15924993295250844</v>
      </c>
      <c r="K28" s="52">
        <v>0.24173839832501465</v>
      </c>
      <c r="L28" s="52">
        <v>0.4</v>
      </c>
    </row>
    <row r="29" spans="1:12" hidden="1" x14ac:dyDescent="0.2">
      <c r="A29" s="42" t="s">
        <v>98</v>
      </c>
      <c r="B29" s="42" t="s">
        <v>98</v>
      </c>
      <c r="C29" s="91">
        <v>0.5</v>
      </c>
      <c r="D29" s="91">
        <v>0.55000000000000004</v>
      </c>
      <c r="E29" s="91">
        <v>0.5</v>
      </c>
      <c r="F29" s="91">
        <v>0.55000000000000004</v>
      </c>
      <c r="G29" s="91">
        <v>0.55000000000000004</v>
      </c>
      <c r="I29" s="52">
        <v>0.45</v>
      </c>
      <c r="J29" s="52">
        <v>0.45</v>
      </c>
      <c r="K29" s="52">
        <v>0.45</v>
      </c>
      <c r="L29" s="52">
        <v>0.45</v>
      </c>
    </row>
    <row r="30" spans="1:12" hidden="1" x14ac:dyDescent="0.2">
      <c r="A30" s="42" t="s">
        <v>163</v>
      </c>
      <c r="B30" s="42" t="s">
        <v>11</v>
      </c>
      <c r="C30" s="91">
        <v>0.45</v>
      </c>
      <c r="D30" s="91">
        <v>0.27</v>
      </c>
      <c r="E30" s="91">
        <v>0.27</v>
      </c>
      <c r="F30" s="59">
        <v>0.39</v>
      </c>
      <c r="G30" s="91">
        <v>0.6</v>
      </c>
      <c r="I30" s="52">
        <v>0.45</v>
      </c>
      <c r="J30" s="52">
        <v>0.1201930999963654</v>
      </c>
      <c r="K30" s="52">
        <v>0.12970801746378335</v>
      </c>
      <c r="L30" s="52">
        <v>0.39</v>
      </c>
    </row>
    <row r="31" spans="1:12" hidden="1" x14ac:dyDescent="0.2">
      <c r="A31" s="42" t="s">
        <v>164</v>
      </c>
      <c r="B31" s="42" t="s">
        <v>13</v>
      </c>
      <c r="C31" s="59">
        <v>0</v>
      </c>
      <c r="D31" s="59">
        <v>0</v>
      </c>
      <c r="E31" s="59">
        <v>0</v>
      </c>
      <c r="F31" s="59">
        <v>0</v>
      </c>
      <c r="G31" s="91">
        <v>0.52</v>
      </c>
      <c r="I31" s="52">
        <v>0</v>
      </c>
      <c r="J31" s="52">
        <v>0</v>
      </c>
      <c r="K31" s="52">
        <v>0</v>
      </c>
      <c r="L31" s="52">
        <v>0</v>
      </c>
    </row>
    <row r="32" spans="1:12" hidden="1" x14ac:dyDescent="0.2">
      <c r="A32" s="42" t="s">
        <v>165</v>
      </c>
      <c r="B32" s="42" t="s">
        <v>12</v>
      </c>
      <c r="C32" s="91">
        <v>0</v>
      </c>
      <c r="D32" s="91">
        <v>0</v>
      </c>
      <c r="E32" s="91">
        <v>0</v>
      </c>
      <c r="F32" s="91">
        <v>0</v>
      </c>
      <c r="G32" s="91">
        <v>0.34</v>
      </c>
      <c r="I32" s="52" t="e">
        <v>#N/A</v>
      </c>
      <c r="J32" s="52" t="e">
        <v>#N/A</v>
      </c>
      <c r="K32" s="52" t="e">
        <v>#N/A</v>
      </c>
      <c r="L32" s="52" t="e">
        <v>#N/A</v>
      </c>
    </row>
    <row r="33" spans="1:12" hidden="1" x14ac:dyDescent="0.2">
      <c r="A33" s="42" t="s">
        <v>166</v>
      </c>
      <c r="B33" s="42" t="s">
        <v>13</v>
      </c>
      <c r="C33" s="59">
        <v>0</v>
      </c>
      <c r="D33" s="59">
        <v>0</v>
      </c>
      <c r="E33" s="59">
        <v>0</v>
      </c>
      <c r="F33" s="59">
        <v>0</v>
      </c>
      <c r="G33" s="59">
        <v>0</v>
      </c>
      <c r="I33" s="52">
        <v>0</v>
      </c>
      <c r="J33" s="52">
        <v>0</v>
      </c>
      <c r="K33" s="52">
        <v>0</v>
      </c>
      <c r="L33" s="52">
        <v>0</v>
      </c>
    </row>
    <row r="34" spans="1:12" hidden="1" x14ac:dyDescent="0.2">
      <c r="A34" s="42" t="s">
        <v>167</v>
      </c>
      <c r="B34" s="42" t="s">
        <v>14</v>
      </c>
      <c r="C34" s="59">
        <v>0</v>
      </c>
      <c r="D34" s="59">
        <v>0</v>
      </c>
      <c r="E34" s="59">
        <v>0</v>
      </c>
      <c r="F34" s="59">
        <v>0</v>
      </c>
      <c r="G34" s="59">
        <v>0</v>
      </c>
      <c r="I34" s="52">
        <v>0</v>
      </c>
      <c r="J34" s="52">
        <v>0</v>
      </c>
      <c r="K34" s="52">
        <v>0</v>
      </c>
      <c r="L34" s="52">
        <v>0</v>
      </c>
    </row>
    <row r="35" spans="1:12" hidden="1" x14ac:dyDescent="0.2">
      <c r="A35" s="42" t="s">
        <v>168</v>
      </c>
      <c r="B35" s="42" t="s">
        <v>15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I35" s="52" t="e">
        <v>#N/A</v>
      </c>
      <c r="J35" s="52" t="e">
        <v>#N/A</v>
      </c>
      <c r="K35" s="52" t="e">
        <v>#N/A</v>
      </c>
      <c r="L35" s="52" t="e">
        <v>#N/A</v>
      </c>
    </row>
    <row r="36" spans="1:12" hidden="1" x14ac:dyDescent="0.2">
      <c r="A36" s="42" t="s">
        <v>169</v>
      </c>
      <c r="B36" s="42" t="s">
        <v>16</v>
      </c>
      <c r="C36" s="59">
        <v>0</v>
      </c>
      <c r="D36" s="59">
        <v>0</v>
      </c>
      <c r="E36" s="59">
        <v>0</v>
      </c>
      <c r="F36" s="59">
        <v>0</v>
      </c>
      <c r="G36" s="59">
        <v>0</v>
      </c>
      <c r="I36" s="52" t="e">
        <v>#N/A</v>
      </c>
      <c r="J36" s="52" t="e">
        <v>#N/A</v>
      </c>
      <c r="K36" s="52" t="e">
        <v>#N/A</v>
      </c>
      <c r="L36" s="52" t="e">
        <v>#N/A</v>
      </c>
    </row>
    <row r="37" spans="1:12" hidden="1" x14ac:dyDescent="0.2">
      <c r="A37" s="42" t="s">
        <v>170</v>
      </c>
      <c r="B37" s="42" t="s">
        <v>16</v>
      </c>
      <c r="C37" s="59">
        <v>0</v>
      </c>
      <c r="D37" s="59">
        <v>0</v>
      </c>
      <c r="E37" s="59">
        <v>0</v>
      </c>
      <c r="F37" s="59">
        <v>0</v>
      </c>
      <c r="G37" s="59">
        <v>0</v>
      </c>
      <c r="I37" s="52" t="e">
        <v>#N/A</v>
      </c>
      <c r="J37" s="52" t="e">
        <v>#N/A</v>
      </c>
      <c r="K37" s="52" t="e">
        <v>#N/A</v>
      </c>
      <c r="L37" s="52" t="e">
        <v>#N/A</v>
      </c>
    </row>
    <row r="38" spans="1:12" hidden="1" x14ac:dyDescent="0.2">
      <c r="A38" s="42" t="s">
        <v>171</v>
      </c>
      <c r="B38" s="42" t="s">
        <v>53</v>
      </c>
      <c r="C38" s="91">
        <v>0.23499999999999999</v>
      </c>
      <c r="D38" s="91">
        <v>0.23499999999999999</v>
      </c>
      <c r="E38" s="91">
        <v>0.23499999999999999</v>
      </c>
      <c r="F38" s="91">
        <v>0.23499999999999999</v>
      </c>
      <c r="G38" s="91">
        <v>0.5</v>
      </c>
      <c r="I38" s="52">
        <v>0</v>
      </c>
      <c r="J38" s="52">
        <v>0</v>
      </c>
      <c r="K38" s="52">
        <v>0</v>
      </c>
      <c r="L38" s="52">
        <v>0</v>
      </c>
    </row>
    <row r="39" spans="1:12" hidden="1" x14ac:dyDescent="0.2">
      <c r="A39" s="42" t="s">
        <v>172</v>
      </c>
      <c r="B39" s="42" t="s">
        <v>55</v>
      </c>
      <c r="C39" s="59">
        <v>0</v>
      </c>
      <c r="D39" s="59">
        <v>0</v>
      </c>
      <c r="E39" s="59">
        <v>0</v>
      </c>
      <c r="F39" s="59">
        <v>0</v>
      </c>
      <c r="G39" s="59">
        <v>0</v>
      </c>
      <c r="I39" s="52" t="e">
        <v>#N/A</v>
      </c>
      <c r="J39" s="52" t="e">
        <v>#N/A</v>
      </c>
      <c r="K39" s="52" t="e">
        <v>#N/A</v>
      </c>
      <c r="L39" s="52" t="e">
        <v>#N/A</v>
      </c>
    </row>
    <row r="40" spans="1:12" hidden="1" x14ac:dyDescent="0.2">
      <c r="A40" s="42" t="s">
        <v>173</v>
      </c>
      <c r="B40" s="42" t="s">
        <v>56</v>
      </c>
      <c r="C40" s="59">
        <v>0</v>
      </c>
      <c r="D40" s="59">
        <v>0</v>
      </c>
      <c r="E40" s="59">
        <v>0</v>
      </c>
      <c r="F40" s="59">
        <v>0</v>
      </c>
      <c r="G40" s="59">
        <v>0</v>
      </c>
      <c r="I40" s="52">
        <v>0</v>
      </c>
      <c r="J40" s="52">
        <v>0</v>
      </c>
      <c r="K40" s="52">
        <v>0</v>
      </c>
      <c r="L40" s="52">
        <v>0</v>
      </c>
    </row>
    <row r="41" spans="1:12" x14ac:dyDescent="0.2">
      <c r="A41" s="42" t="s">
        <v>174</v>
      </c>
      <c r="B41" s="42" t="s">
        <v>57</v>
      </c>
      <c r="C41" s="91">
        <v>0.5</v>
      </c>
      <c r="D41" s="91">
        <v>0.5</v>
      </c>
      <c r="E41" s="91">
        <v>0.5</v>
      </c>
      <c r="F41" s="91">
        <v>0.5</v>
      </c>
      <c r="G41" s="91">
        <v>0.6</v>
      </c>
      <c r="I41" s="52" t="e">
        <v>#N/A</v>
      </c>
      <c r="J41" s="52" t="e">
        <v>#N/A</v>
      </c>
      <c r="K41" s="52" t="e">
        <v>#N/A</v>
      </c>
      <c r="L41" s="52" t="e">
        <v>#N/A</v>
      </c>
    </row>
    <row r="42" spans="1:12" x14ac:dyDescent="0.2">
      <c r="A42" s="42" t="s">
        <v>175</v>
      </c>
      <c r="B42" s="42" t="s">
        <v>61</v>
      </c>
      <c r="C42" s="91">
        <v>0.5</v>
      </c>
      <c r="D42" s="91">
        <v>0.5</v>
      </c>
      <c r="E42" s="91">
        <v>0.5</v>
      </c>
      <c r="F42" s="91">
        <v>0.5</v>
      </c>
      <c r="G42" s="91">
        <v>0.6</v>
      </c>
      <c r="I42" s="52" t="e">
        <v>#N/A</v>
      </c>
      <c r="J42" s="52" t="e">
        <v>#N/A</v>
      </c>
      <c r="K42" s="52" t="e">
        <v>#N/A</v>
      </c>
      <c r="L42" s="52" t="e">
        <v>#N/A</v>
      </c>
    </row>
    <row r="43" spans="1:12" x14ac:dyDescent="0.2">
      <c r="A43" s="42" t="s">
        <v>176</v>
      </c>
      <c r="B43" s="42" t="s">
        <v>59</v>
      </c>
      <c r="C43" s="91">
        <v>0.5</v>
      </c>
      <c r="D43" s="91">
        <v>0.5</v>
      </c>
      <c r="E43" s="91">
        <v>0.5</v>
      </c>
      <c r="F43" s="91">
        <v>0.5</v>
      </c>
      <c r="G43" s="91">
        <v>0.6</v>
      </c>
      <c r="I43" s="52" t="e">
        <v>#N/A</v>
      </c>
      <c r="J43" s="52" t="e">
        <v>#N/A</v>
      </c>
      <c r="K43" s="52" t="e">
        <v>#N/A</v>
      </c>
      <c r="L43" s="52" t="e">
        <v>#N/A</v>
      </c>
    </row>
    <row r="44" spans="1:12" x14ac:dyDescent="0.2">
      <c r="A44" s="42" t="s">
        <v>177</v>
      </c>
      <c r="B44" s="42" t="s">
        <v>60</v>
      </c>
      <c r="C44" s="59">
        <v>0</v>
      </c>
      <c r="D44" s="59">
        <v>0</v>
      </c>
      <c r="E44" s="59">
        <v>0</v>
      </c>
      <c r="F44" s="91">
        <v>0.33</v>
      </c>
      <c r="G44" s="91">
        <v>0.6</v>
      </c>
      <c r="I44" s="52">
        <v>0</v>
      </c>
      <c r="J44" s="52">
        <v>0</v>
      </c>
      <c r="K44" s="52">
        <v>0</v>
      </c>
      <c r="L44" s="52">
        <v>0</v>
      </c>
    </row>
    <row r="45" spans="1:12" x14ac:dyDescent="0.2">
      <c r="A45" s="42" t="s">
        <v>178</v>
      </c>
      <c r="B45" s="42" t="s">
        <v>60</v>
      </c>
      <c r="C45" s="91">
        <v>0.5</v>
      </c>
      <c r="D45" s="91">
        <v>0.33</v>
      </c>
      <c r="E45" s="91">
        <v>0.39</v>
      </c>
      <c r="F45" s="91">
        <v>0.49</v>
      </c>
      <c r="G45" s="91">
        <v>0.6</v>
      </c>
      <c r="I45" s="52">
        <v>0</v>
      </c>
      <c r="J45" s="52">
        <v>0</v>
      </c>
      <c r="K45" s="52">
        <v>0</v>
      </c>
      <c r="L45" s="52">
        <v>0</v>
      </c>
    </row>
    <row r="46" spans="1:12" x14ac:dyDescent="0.2">
      <c r="A46" s="42" t="s">
        <v>179</v>
      </c>
      <c r="B46" s="42" t="s">
        <v>60</v>
      </c>
      <c r="C46" s="59">
        <v>0</v>
      </c>
      <c r="D46" s="59">
        <v>0</v>
      </c>
      <c r="E46" s="59">
        <v>0</v>
      </c>
      <c r="F46" s="59">
        <v>0</v>
      </c>
      <c r="G46" s="91">
        <v>0.39</v>
      </c>
      <c r="I46" s="52">
        <v>0</v>
      </c>
      <c r="J46" s="52">
        <v>0</v>
      </c>
      <c r="K46" s="52">
        <v>0</v>
      </c>
      <c r="L46" s="52">
        <v>0</v>
      </c>
    </row>
    <row r="47" spans="1:12" hidden="1" x14ac:dyDescent="0.2">
      <c r="A47" s="42" t="s">
        <v>99</v>
      </c>
      <c r="B47" s="42" t="s">
        <v>99</v>
      </c>
      <c r="C47" s="91">
        <v>0.45</v>
      </c>
      <c r="D47" s="91">
        <v>0.45</v>
      </c>
      <c r="E47" s="91">
        <v>0.45</v>
      </c>
      <c r="F47" s="91">
        <v>0.45</v>
      </c>
      <c r="G47" s="91">
        <v>0.5</v>
      </c>
      <c r="I47" s="52">
        <v>0</v>
      </c>
      <c r="J47" s="52">
        <v>0</v>
      </c>
      <c r="K47" s="52">
        <v>0</v>
      </c>
      <c r="L47" s="52">
        <v>0</v>
      </c>
    </row>
    <row r="48" spans="1:12" hidden="1" x14ac:dyDescent="0.2">
      <c r="A48" s="42" t="s">
        <v>100</v>
      </c>
      <c r="B48" s="42" t="s">
        <v>100</v>
      </c>
      <c r="C48" s="91">
        <v>0.45</v>
      </c>
      <c r="D48" s="91">
        <v>0.32</v>
      </c>
      <c r="E48" s="91">
        <v>0.38</v>
      </c>
      <c r="F48" s="91">
        <v>0.45</v>
      </c>
      <c r="G48" s="91">
        <v>0.5</v>
      </c>
      <c r="I48" s="52">
        <v>0</v>
      </c>
      <c r="J48" s="52">
        <v>0</v>
      </c>
      <c r="K48" s="52">
        <v>0</v>
      </c>
      <c r="L48" s="52">
        <v>0</v>
      </c>
    </row>
    <row r="49" spans="1:12" hidden="1" x14ac:dyDescent="0.2">
      <c r="A49" s="42" t="s">
        <v>101</v>
      </c>
      <c r="B49" s="42" t="s">
        <v>101</v>
      </c>
      <c r="C49" s="91">
        <v>0.45</v>
      </c>
      <c r="D49" s="91">
        <v>0.45</v>
      </c>
      <c r="E49" s="91">
        <v>0.45</v>
      </c>
      <c r="F49" s="91">
        <v>0.45</v>
      </c>
      <c r="G49" s="91">
        <v>0.5</v>
      </c>
      <c r="I49" s="52">
        <v>0</v>
      </c>
      <c r="J49" s="52">
        <v>0</v>
      </c>
      <c r="K49" s="52">
        <v>0</v>
      </c>
      <c r="L49" s="52">
        <v>0</v>
      </c>
    </row>
    <row r="50" spans="1:12" hidden="1" x14ac:dyDescent="0.2">
      <c r="A50" s="42" t="s">
        <v>102</v>
      </c>
      <c r="B50" s="42" t="s">
        <v>102</v>
      </c>
      <c r="C50" s="59">
        <v>0</v>
      </c>
      <c r="D50" s="59">
        <v>0</v>
      </c>
      <c r="E50" s="59">
        <v>0</v>
      </c>
      <c r="F50" s="59">
        <v>0</v>
      </c>
      <c r="G50" s="59">
        <v>0</v>
      </c>
      <c r="I50" s="52">
        <v>0</v>
      </c>
      <c r="J50" s="52">
        <v>0</v>
      </c>
      <c r="K50" s="52">
        <v>0</v>
      </c>
      <c r="L50" s="52">
        <v>0</v>
      </c>
    </row>
    <row r="51" spans="1:12" hidden="1" x14ac:dyDescent="0.2">
      <c r="A51" s="42" t="s">
        <v>180</v>
      </c>
      <c r="B51" s="42" t="s">
        <v>103</v>
      </c>
      <c r="C51" s="91">
        <v>0.25</v>
      </c>
      <c r="D51" s="91">
        <v>0.19</v>
      </c>
      <c r="E51" s="91">
        <v>0.25</v>
      </c>
      <c r="F51" s="91">
        <v>0.25</v>
      </c>
      <c r="G51" s="91">
        <v>0.6</v>
      </c>
      <c r="I51" s="52">
        <v>0</v>
      </c>
      <c r="J51" s="52">
        <v>0</v>
      </c>
      <c r="K51" s="52">
        <v>0</v>
      </c>
      <c r="L51" s="52">
        <v>0</v>
      </c>
    </row>
    <row r="52" spans="1:12" hidden="1" x14ac:dyDescent="0.2">
      <c r="A52" s="42" t="s">
        <v>181</v>
      </c>
      <c r="B52" s="42" t="s">
        <v>104</v>
      </c>
      <c r="C52" s="59">
        <v>0</v>
      </c>
      <c r="D52" s="59">
        <v>0</v>
      </c>
      <c r="E52" s="59">
        <v>0</v>
      </c>
      <c r="F52" s="59">
        <v>0</v>
      </c>
      <c r="G52" s="91">
        <v>0.52</v>
      </c>
      <c r="I52" s="52">
        <v>0</v>
      </c>
      <c r="J52" s="52">
        <v>0</v>
      </c>
      <c r="K52" s="52">
        <v>0</v>
      </c>
      <c r="L52" s="52">
        <v>0</v>
      </c>
    </row>
    <row r="53" spans="1:12" hidden="1" x14ac:dyDescent="0.2">
      <c r="A53" s="42" t="s">
        <v>182</v>
      </c>
      <c r="B53" s="42" t="s">
        <v>104</v>
      </c>
      <c r="C53" s="59">
        <v>0</v>
      </c>
      <c r="D53" s="59">
        <v>0</v>
      </c>
      <c r="E53" s="59">
        <v>0</v>
      </c>
      <c r="F53" s="59">
        <v>0</v>
      </c>
      <c r="G53" s="91">
        <v>0.41</v>
      </c>
      <c r="I53" s="52">
        <v>0</v>
      </c>
      <c r="J53" s="52">
        <v>0</v>
      </c>
      <c r="K53" s="52">
        <v>0</v>
      </c>
      <c r="L53" s="52">
        <v>0</v>
      </c>
    </row>
    <row r="54" spans="1:12" hidden="1" x14ac:dyDescent="0.2">
      <c r="A54" s="42" t="s">
        <v>183</v>
      </c>
      <c r="B54" s="42" t="s">
        <v>69</v>
      </c>
      <c r="C54" s="91">
        <v>0.5</v>
      </c>
      <c r="D54" s="91">
        <v>0.55000000000000004</v>
      </c>
      <c r="E54" s="91">
        <v>0.5</v>
      </c>
      <c r="F54" s="91">
        <v>0.55000000000000004</v>
      </c>
      <c r="G54" s="59">
        <v>0.6</v>
      </c>
      <c r="I54" s="52" t="e">
        <v>#N/A</v>
      </c>
      <c r="J54" s="52" t="e">
        <v>#N/A</v>
      </c>
      <c r="K54" s="52" t="e">
        <v>#N/A</v>
      </c>
      <c r="L54" s="52" t="e">
        <v>#N/A</v>
      </c>
    </row>
    <row r="55" spans="1:12" hidden="1" x14ac:dyDescent="0.2">
      <c r="A55" s="42" t="s">
        <v>184</v>
      </c>
      <c r="B55" s="42" t="s">
        <v>70</v>
      </c>
      <c r="C55" s="91">
        <v>0.5</v>
      </c>
      <c r="D55" s="91">
        <v>0.55000000000000004</v>
      </c>
      <c r="E55" s="91">
        <v>0.5</v>
      </c>
      <c r="F55" s="91">
        <v>0.55000000000000004</v>
      </c>
      <c r="G55" s="59">
        <v>0.6</v>
      </c>
      <c r="I55" s="52" t="e">
        <v>#N/A</v>
      </c>
      <c r="J55" s="52" t="e">
        <v>#N/A</v>
      </c>
      <c r="K55" s="52" t="e">
        <v>#N/A</v>
      </c>
      <c r="L55" s="52" t="e">
        <v>#N/A</v>
      </c>
    </row>
    <row r="56" spans="1:12" hidden="1" x14ac:dyDescent="0.2">
      <c r="A56" s="42" t="s">
        <v>185</v>
      </c>
      <c r="B56" s="42" t="s">
        <v>186</v>
      </c>
      <c r="C56" s="59">
        <v>0</v>
      </c>
      <c r="D56" s="59">
        <v>0</v>
      </c>
      <c r="E56" s="91">
        <v>0.28000000000000003</v>
      </c>
      <c r="F56" s="91">
        <v>0.33</v>
      </c>
      <c r="G56" s="91">
        <v>0.5</v>
      </c>
      <c r="I56" s="52" t="e">
        <v>#N/A</v>
      </c>
      <c r="J56" s="52" t="e">
        <v>#N/A</v>
      </c>
      <c r="K56" s="52" t="e">
        <v>#N/A</v>
      </c>
      <c r="L56" s="52" t="e">
        <v>#N/A</v>
      </c>
    </row>
    <row r="57" spans="1:12" hidden="1" x14ac:dyDescent="0.2">
      <c r="A57" s="42" t="s">
        <v>187</v>
      </c>
      <c r="B57" s="42" t="s">
        <v>186</v>
      </c>
      <c r="C57" s="59">
        <v>0</v>
      </c>
      <c r="D57" s="59">
        <v>0</v>
      </c>
      <c r="E57" s="91">
        <v>0.28000000000000003</v>
      </c>
      <c r="F57" s="91">
        <v>0.33</v>
      </c>
      <c r="G57" s="91">
        <v>0.5</v>
      </c>
      <c r="I57" s="52" t="e">
        <v>#N/A</v>
      </c>
      <c r="J57" s="52" t="e">
        <v>#N/A</v>
      </c>
      <c r="K57" s="52" t="e">
        <v>#N/A</v>
      </c>
      <c r="L57" s="52" t="e">
        <v>#N/A</v>
      </c>
    </row>
    <row r="58" spans="1:12" hidden="1" x14ac:dyDescent="0.2">
      <c r="A58" s="42" t="s">
        <v>188</v>
      </c>
      <c r="B58" s="42" t="s">
        <v>74</v>
      </c>
      <c r="C58" s="59">
        <v>0</v>
      </c>
      <c r="D58" s="59">
        <v>0</v>
      </c>
      <c r="E58" s="59">
        <v>0</v>
      </c>
      <c r="F58" s="59">
        <v>0</v>
      </c>
      <c r="G58" s="91">
        <v>0.34</v>
      </c>
      <c r="I58" s="52" t="e">
        <v>#N/A</v>
      </c>
      <c r="J58" s="52" t="e">
        <v>#N/A</v>
      </c>
      <c r="K58" s="52" t="e">
        <v>#N/A</v>
      </c>
      <c r="L58" s="52" t="e">
        <v>#N/A</v>
      </c>
    </row>
    <row r="59" spans="1:12" hidden="1" x14ac:dyDescent="0.2">
      <c r="A59" s="42" t="s">
        <v>189</v>
      </c>
      <c r="B59" s="42" t="s">
        <v>73</v>
      </c>
      <c r="C59" s="59">
        <v>0</v>
      </c>
      <c r="D59" s="59">
        <v>0</v>
      </c>
      <c r="E59" s="59">
        <v>0</v>
      </c>
      <c r="F59" s="59">
        <v>0</v>
      </c>
      <c r="G59" s="91">
        <v>0.48</v>
      </c>
      <c r="I59" s="52">
        <v>0</v>
      </c>
      <c r="J59" s="52">
        <v>0</v>
      </c>
      <c r="K59" s="52">
        <v>0</v>
      </c>
      <c r="L59" s="52">
        <v>0</v>
      </c>
    </row>
    <row r="60" spans="1:12" hidden="1" x14ac:dyDescent="0.2">
      <c r="A60" s="42" t="s">
        <v>105</v>
      </c>
      <c r="B60" s="42" t="s">
        <v>105</v>
      </c>
      <c r="C60" s="91">
        <v>0.45</v>
      </c>
      <c r="D60" s="91">
        <v>0.45</v>
      </c>
      <c r="E60" s="91">
        <v>0.45</v>
      </c>
      <c r="F60" s="91">
        <v>0.45</v>
      </c>
      <c r="G60" s="91">
        <v>0.5</v>
      </c>
      <c r="I60" s="52">
        <v>0</v>
      </c>
      <c r="J60" s="52">
        <v>0</v>
      </c>
      <c r="K60" s="52">
        <v>0</v>
      </c>
      <c r="L60" s="52">
        <v>0</v>
      </c>
    </row>
    <row r="61" spans="1:12" hidden="1" x14ac:dyDescent="0.2">
      <c r="A61" s="42" t="s">
        <v>190</v>
      </c>
      <c r="B61" s="42" t="s">
        <v>17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I61" s="52">
        <v>0</v>
      </c>
      <c r="J61" s="52">
        <v>0</v>
      </c>
      <c r="K61" s="52">
        <v>0</v>
      </c>
      <c r="L61" s="52">
        <v>0</v>
      </c>
    </row>
    <row r="62" spans="1:12" hidden="1" x14ac:dyDescent="0.2">
      <c r="A62" s="42" t="s">
        <v>191</v>
      </c>
      <c r="B62" s="42" t="s">
        <v>18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I62" s="52">
        <v>0</v>
      </c>
      <c r="J62" s="52">
        <v>0</v>
      </c>
      <c r="K62" s="52">
        <v>0</v>
      </c>
      <c r="L62" s="52">
        <v>0</v>
      </c>
    </row>
    <row r="63" spans="1:12" hidden="1" x14ac:dyDescent="0.2">
      <c r="A63" s="42" t="s">
        <v>192</v>
      </c>
      <c r="B63" s="42" t="s">
        <v>18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I63" s="52">
        <v>0</v>
      </c>
      <c r="J63" s="52">
        <v>0</v>
      </c>
      <c r="K63" s="52">
        <v>0</v>
      </c>
      <c r="L63" s="52">
        <v>0</v>
      </c>
    </row>
    <row r="64" spans="1:12" hidden="1" x14ac:dyDescent="0.2">
      <c r="A64" s="42" t="s">
        <v>193</v>
      </c>
      <c r="B64" s="42" t="s">
        <v>19</v>
      </c>
      <c r="C64" s="91">
        <v>0.38</v>
      </c>
      <c r="D64" s="91">
        <v>0.38</v>
      </c>
      <c r="E64" s="91">
        <v>0.38</v>
      </c>
      <c r="F64" s="91">
        <v>0.38</v>
      </c>
      <c r="G64" s="91">
        <v>0.63</v>
      </c>
      <c r="I64" s="52" t="e">
        <v>#N/A</v>
      </c>
      <c r="J64" s="52" t="e">
        <v>#N/A</v>
      </c>
      <c r="K64" s="52" t="e">
        <v>#N/A</v>
      </c>
      <c r="L64" s="52" t="e">
        <v>#N/A</v>
      </c>
    </row>
    <row r="65" spans="1:12" hidden="1" x14ac:dyDescent="0.2">
      <c r="A65" s="42" t="s">
        <v>194</v>
      </c>
      <c r="B65" s="42" t="s">
        <v>20</v>
      </c>
      <c r="C65" s="91">
        <v>0</v>
      </c>
      <c r="D65" s="91">
        <v>0</v>
      </c>
      <c r="E65" s="91">
        <v>0</v>
      </c>
      <c r="F65" s="91">
        <v>0</v>
      </c>
      <c r="G65" s="91">
        <v>0.63</v>
      </c>
      <c r="I65" s="52">
        <v>0.28000000000000003</v>
      </c>
      <c r="J65" s="52">
        <v>0.22491529422310685</v>
      </c>
      <c r="K65" s="52">
        <v>0.25</v>
      </c>
      <c r="L65" s="52">
        <v>0.25</v>
      </c>
    </row>
    <row r="66" spans="1:12" hidden="1" x14ac:dyDescent="0.2">
      <c r="A66" s="42" t="s">
        <v>106</v>
      </c>
      <c r="B66" s="42" t="s">
        <v>106</v>
      </c>
      <c r="C66" s="59">
        <v>0</v>
      </c>
      <c r="D66" s="59">
        <v>0</v>
      </c>
      <c r="E66" s="91">
        <v>0.24</v>
      </c>
      <c r="F66" s="91">
        <v>0.36</v>
      </c>
      <c r="G66" s="91">
        <v>0.48</v>
      </c>
      <c r="I66" s="52">
        <v>0</v>
      </c>
      <c r="J66" s="52">
        <v>0</v>
      </c>
      <c r="K66" s="52">
        <v>0</v>
      </c>
      <c r="L66" s="52">
        <v>0</v>
      </c>
    </row>
    <row r="67" spans="1:12" hidden="1" x14ac:dyDescent="0.2">
      <c r="A67" s="42" t="s">
        <v>195</v>
      </c>
      <c r="B67" s="42" t="s">
        <v>75</v>
      </c>
      <c r="C67" s="59">
        <v>0.44999999999999996</v>
      </c>
      <c r="D67" s="91">
        <v>0.46</v>
      </c>
      <c r="E67" s="91">
        <v>0.46</v>
      </c>
      <c r="F67" s="91">
        <v>0.46</v>
      </c>
      <c r="G67" s="91">
        <v>0.62</v>
      </c>
      <c r="I67" s="53">
        <v>0</v>
      </c>
      <c r="J67" s="53">
        <v>0</v>
      </c>
      <c r="K67" s="53">
        <v>0</v>
      </c>
      <c r="L67" s="53">
        <v>0</v>
      </c>
    </row>
    <row r="68" spans="1:12" hidden="1" x14ac:dyDescent="0.2">
      <c r="A68" s="42" t="s">
        <v>196</v>
      </c>
      <c r="B68" s="42" t="s">
        <v>75</v>
      </c>
      <c r="C68" s="59">
        <v>0.44999999999999996</v>
      </c>
      <c r="D68" s="91">
        <v>0.46</v>
      </c>
      <c r="E68" s="91">
        <v>0.46</v>
      </c>
      <c r="F68" s="91">
        <v>0.46</v>
      </c>
      <c r="G68" s="91">
        <v>0.62</v>
      </c>
      <c r="I68" s="53">
        <v>0</v>
      </c>
      <c r="J68" s="53">
        <v>0</v>
      </c>
      <c r="K68" s="53">
        <v>0</v>
      </c>
      <c r="L68" s="53">
        <v>0</v>
      </c>
    </row>
    <row r="69" spans="1:12" hidden="1" x14ac:dyDescent="0.2">
      <c r="A69" s="42" t="s">
        <v>197</v>
      </c>
      <c r="B69" s="42" t="s">
        <v>75</v>
      </c>
      <c r="C69" s="59">
        <v>0.44999999999999996</v>
      </c>
      <c r="D69" s="91">
        <v>0.46</v>
      </c>
      <c r="E69" s="91">
        <v>0.46</v>
      </c>
      <c r="F69" s="91">
        <v>0.46</v>
      </c>
      <c r="G69" s="91">
        <v>0.62</v>
      </c>
      <c r="I69" s="53">
        <v>0</v>
      </c>
      <c r="J69" s="53">
        <v>0</v>
      </c>
      <c r="K69" s="53">
        <v>0</v>
      </c>
      <c r="L69" s="53">
        <v>0</v>
      </c>
    </row>
    <row r="70" spans="1:12" hidden="1" x14ac:dyDescent="0.2">
      <c r="A70" s="42" t="s">
        <v>198</v>
      </c>
      <c r="B70" s="42" t="s">
        <v>76</v>
      </c>
      <c r="C70" s="59">
        <v>0</v>
      </c>
      <c r="D70" s="59">
        <v>0</v>
      </c>
      <c r="E70" s="91">
        <v>0.28000000000000003</v>
      </c>
      <c r="F70" s="91">
        <v>0.28000000000000003</v>
      </c>
      <c r="G70" s="91">
        <v>0.35</v>
      </c>
      <c r="I70" s="52">
        <v>0</v>
      </c>
      <c r="J70" s="52">
        <v>0</v>
      </c>
      <c r="K70" s="52">
        <v>0</v>
      </c>
      <c r="L70" s="52">
        <v>0</v>
      </c>
    </row>
    <row r="71" spans="1:12" hidden="1" x14ac:dyDescent="0.2">
      <c r="A71" s="42" t="s">
        <v>199</v>
      </c>
      <c r="B71" s="42" t="s">
        <v>78</v>
      </c>
      <c r="C71" s="91">
        <v>0.46</v>
      </c>
      <c r="D71" s="91">
        <v>0.46</v>
      </c>
      <c r="E71" s="91">
        <v>0.46</v>
      </c>
      <c r="F71" s="91">
        <v>0.46</v>
      </c>
      <c r="G71" s="91">
        <v>0.62</v>
      </c>
      <c r="I71" s="53">
        <v>0</v>
      </c>
      <c r="J71" s="53">
        <v>0</v>
      </c>
      <c r="K71" s="53">
        <v>0</v>
      </c>
      <c r="L71" s="53">
        <v>0</v>
      </c>
    </row>
    <row r="72" spans="1:12" hidden="1" x14ac:dyDescent="0.2">
      <c r="A72" s="42" t="s">
        <v>200</v>
      </c>
      <c r="B72" s="42" t="s">
        <v>79</v>
      </c>
      <c r="C72" s="91">
        <v>0.46</v>
      </c>
      <c r="D72" s="91">
        <v>0.46</v>
      </c>
      <c r="E72" s="91">
        <v>0.46</v>
      </c>
      <c r="F72" s="91">
        <v>0.46</v>
      </c>
      <c r="G72" s="91">
        <v>0.62</v>
      </c>
      <c r="I72" s="53">
        <v>0</v>
      </c>
      <c r="J72" s="53">
        <v>0</v>
      </c>
      <c r="K72" s="53">
        <v>0</v>
      </c>
      <c r="L72" s="53">
        <v>0</v>
      </c>
    </row>
    <row r="73" spans="1:12" hidden="1" x14ac:dyDescent="0.2">
      <c r="A73" s="42" t="s">
        <v>201</v>
      </c>
      <c r="B73" s="42" t="s">
        <v>107</v>
      </c>
      <c r="C73" s="91">
        <v>0.5</v>
      </c>
      <c r="D73" s="91">
        <v>0.55000000000000004</v>
      </c>
      <c r="E73" s="91">
        <v>0.5</v>
      </c>
      <c r="F73" s="91">
        <v>0.55000000000000004</v>
      </c>
      <c r="G73" s="91">
        <v>0.6</v>
      </c>
      <c r="I73" s="52">
        <v>0.16473602483620009</v>
      </c>
      <c r="J73" s="52">
        <v>0</v>
      </c>
      <c r="K73" s="52">
        <v>1.9300909114781883E-2</v>
      </c>
      <c r="L73" s="52">
        <v>0.12455160814176502</v>
      </c>
    </row>
    <row r="74" spans="1:12" hidden="1" x14ac:dyDescent="0.2">
      <c r="A74" s="42" t="s">
        <v>202</v>
      </c>
      <c r="B74" s="42" t="s">
        <v>108</v>
      </c>
      <c r="C74" s="91">
        <v>0.5</v>
      </c>
      <c r="D74" s="91">
        <v>0.48</v>
      </c>
      <c r="E74" s="91">
        <v>0.5</v>
      </c>
      <c r="F74" s="91">
        <v>0.55000000000000004</v>
      </c>
      <c r="G74" s="91">
        <v>0.6</v>
      </c>
      <c r="I74" s="52">
        <v>0</v>
      </c>
      <c r="J74" s="52">
        <v>0</v>
      </c>
      <c r="K74" s="52">
        <v>0</v>
      </c>
      <c r="L74" s="52">
        <v>0</v>
      </c>
    </row>
    <row r="75" spans="1:12" hidden="1" x14ac:dyDescent="0.2">
      <c r="A75" s="42" t="s">
        <v>203</v>
      </c>
      <c r="B75" s="42" t="s">
        <v>108</v>
      </c>
      <c r="C75" s="91">
        <v>0.5</v>
      </c>
      <c r="D75" s="91">
        <v>0.55000000000000004</v>
      </c>
      <c r="E75" s="91">
        <v>0.5</v>
      </c>
      <c r="F75" s="91">
        <v>0.55000000000000004</v>
      </c>
      <c r="G75" s="91">
        <v>0.6</v>
      </c>
      <c r="I75" s="52">
        <v>0</v>
      </c>
      <c r="J75" s="52">
        <v>0</v>
      </c>
      <c r="K75" s="52">
        <v>0</v>
      </c>
      <c r="L75" s="52">
        <v>0</v>
      </c>
    </row>
    <row r="76" spans="1:12" hidden="1" x14ac:dyDescent="0.2">
      <c r="A76" s="42" t="s">
        <v>204</v>
      </c>
      <c r="B76" s="42" t="s">
        <v>108</v>
      </c>
      <c r="C76" s="91">
        <v>0.5</v>
      </c>
      <c r="D76" s="91">
        <v>0.48</v>
      </c>
      <c r="E76" s="91">
        <v>0.5</v>
      </c>
      <c r="F76" s="91">
        <v>0.55000000000000004</v>
      </c>
      <c r="G76" s="91">
        <v>0.6</v>
      </c>
      <c r="I76" s="52">
        <v>0</v>
      </c>
      <c r="J76" s="52">
        <v>0</v>
      </c>
      <c r="K76" s="52">
        <v>0</v>
      </c>
      <c r="L76" s="52">
        <v>0</v>
      </c>
    </row>
    <row r="77" spans="1:12" hidden="1" x14ac:dyDescent="0.2">
      <c r="A77" s="42" t="s">
        <v>205</v>
      </c>
      <c r="B77" s="42" t="s">
        <v>108</v>
      </c>
      <c r="C77" s="59">
        <v>0</v>
      </c>
      <c r="D77" s="59">
        <v>0</v>
      </c>
      <c r="E77" s="59">
        <v>0</v>
      </c>
      <c r="F77" s="59">
        <v>0</v>
      </c>
      <c r="G77" s="91">
        <v>0.6</v>
      </c>
      <c r="I77" s="52">
        <v>0</v>
      </c>
      <c r="J77" s="52">
        <v>0</v>
      </c>
      <c r="K77" s="52">
        <v>0</v>
      </c>
      <c r="L77" s="52">
        <v>0</v>
      </c>
    </row>
  </sheetData>
  <autoFilter ref="A5:L77" xr:uid="{BC850854-C724-449C-B580-ECF16AC58FA5}">
    <filterColumn colId="0">
      <filters>
        <filter val="GOA"/>
        <filter val="MAHARASHTRA - 1 M"/>
        <filter val="MAHARASHTRA - 2 P"/>
        <filter val="MAHARASHTRA - 3 N"/>
        <filter val="MAHARASHTRA - 4 K"/>
        <filter val="MAHARASHTRA - 5 R"/>
        <filter val="MAHARASHTRA - 6 R"/>
      </filters>
    </filterColumn>
  </autoFilter>
  <mergeCells count="4">
    <mergeCell ref="C4:F4"/>
    <mergeCell ref="B2:G2"/>
    <mergeCell ref="I3:L3"/>
    <mergeCell ref="I4:L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B6D9-EB5B-4189-A286-DC74F7198FE8}">
  <dimension ref="A1:G127"/>
  <sheetViews>
    <sheetView workbookViewId="0">
      <selection activeCell="F48" sqref="F48"/>
    </sheetView>
  </sheetViews>
  <sheetFormatPr defaultRowHeight="15" x14ac:dyDescent="0.25"/>
  <cols>
    <col min="1" max="1" width="52.5703125" style="9" bestFit="1" customWidth="1"/>
    <col min="2" max="2" width="6.140625" style="9" bestFit="1" customWidth="1"/>
    <col min="3" max="3" width="8.85546875" style="9" bestFit="1" customWidth="1"/>
    <col min="4" max="4" width="7.7109375" style="9" bestFit="1" customWidth="1"/>
    <col min="5" max="5" width="7.28515625" style="9" bestFit="1" customWidth="1"/>
    <col min="6" max="6" width="6.140625" style="9" bestFit="1" customWidth="1"/>
    <col min="7" max="7" width="8.85546875" style="9" bestFit="1" customWidth="1"/>
  </cols>
  <sheetData>
    <row r="1" spans="1:7" x14ac:dyDescent="0.25">
      <c r="A1" s="146" t="s">
        <v>140</v>
      </c>
      <c r="B1" s="146"/>
      <c r="C1" s="146"/>
      <c r="D1" s="146"/>
      <c r="E1" s="146"/>
      <c r="F1" s="146"/>
      <c r="G1" s="146"/>
    </row>
    <row r="2" spans="1:7" s="38" customFormat="1" x14ac:dyDescent="0.25">
      <c r="A2" s="1" t="s">
        <v>31</v>
      </c>
      <c r="B2" s="144" t="s">
        <v>32</v>
      </c>
      <c r="C2" s="144"/>
      <c r="D2" s="144"/>
      <c r="E2" s="144"/>
      <c r="F2" s="144" t="s">
        <v>30</v>
      </c>
      <c r="G2" s="144"/>
    </row>
    <row r="3" spans="1:7" s="38" customFormat="1" ht="22.5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34</v>
      </c>
      <c r="G3" s="1" t="s">
        <v>35</v>
      </c>
    </row>
    <row r="4" spans="1:7" x14ac:dyDescent="0.25">
      <c r="A4" s="36" t="s">
        <v>7</v>
      </c>
      <c r="B4" s="37">
        <v>0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</row>
    <row r="5" spans="1:7" x14ac:dyDescent="0.25">
      <c r="A5" s="36" t="s">
        <v>9</v>
      </c>
      <c r="B5" s="37">
        <v>0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</row>
    <row r="6" spans="1:7" x14ac:dyDescent="0.25">
      <c r="A6" s="36" t="s">
        <v>10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</row>
    <row r="7" spans="1:7" x14ac:dyDescent="0.25">
      <c r="A7" s="36" t="s">
        <v>93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</row>
    <row r="8" spans="1:7" x14ac:dyDescent="0.25">
      <c r="A8" s="36" t="s">
        <v>94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</row>
    <row r="9" spans="1:7" x14ac:dyDescent="0.25">
      <c r="A9" s="36" t="s">
        <v>95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</row>
    <row r="10" spans="1:7" x14ac:dyDescent="0.25">
      <c r="A10" s="36" t="s">
        <v>96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</row>
    <row r="11" spans="1:7" x14ac:dyDescent="0.25">
      <c r="A11" s="36" t="s">
        <v>97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</row>
    <row r="12" spans="1:7" x14ac:dyDescent="0.25">
      <c r="A12" s="36" t="s">
        <v>62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</row>
    <row r="13" spans="1:7" x14ac:dyDescent="0.25">
      <c r="A13" s="36" t="s">
        <v>109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</row>
    <row r="14" spans="1:7" x14ac:dyDescent="0.25">
      <c r="A14" s="36" t="s">
        <v>110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</row>
    <row r="15" spans="1:7" x14ac:dyDescent="0.25">
      <c r="A15" s="36" t="s">
        <v>63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</row>
    <row r="16" spans="1:7" x14ac:dyDescent="0.25">
      <c r="A16" s="36" t="s">
        <v>52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</row>
    <row r="17" spans="1:7" x14ac:dyDescent="0.25">
      <c r="A17" s="36" t="s">
        <v>113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</row>
    <row r="18" spans="1:7" x14ac:dyDescent="0.25">
      <c r="A18" s="36" t="s">
        <v>114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</row>
    <row r="19" spans="1:7" x14ac:dyDescent="0.25">
      <c r="A19" s="36" t="s">
        <v>115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</row>
    <row r="20" spans="1:7" x14ac:dyDescent="0.25">
      <c r="A20" s="36" t="s">
        <v>116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</row>
    <row r="21" spans="1:7" x14ac:dyDescent="0.25">
      <c r="A21" s="36" t="s">
        <v>64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</row>
    <row r="22" spans="1:7" x14ac:dyDescent="0.25">
      <c r="A22" s="36" t="s">
        <v>65</v>
      </c>
      <c r="B22" s="37">
        <v>0.27999999999999997</v>
      </c>
      <c r="C22" s="37">
        <v>0.28999999999999998</v>
      </c>
      <c r="D22" s="37">
        <v>0.33</v>
      </c>
      <c r="E22" s="37">
        <v>0.24</v>
      </c>
      <c r="F22" s="37">
        <v>0.48</v>
      </c>
      <c r="G22" s="37">
        <v>0.54</v>
      </c>
    </row>
    <row r="23" spans="1:7" x14ac:dyDescent="0.25">
      <c r="A23" s="36" t="s">
        <v>66</v>
      </c>
      <c r="B23" s="37">
        <v>0.27999999999999997</v>
      </c>
      <c r="C23" s="37">
        <v>0.28999999999999998</v>
      </c>
      <c r="D23" s="37">
        <v>0.33</v>
      </c>
      <c r="E23" s="37">
        <v>0.24</v>
      </c>
      <c r="F23" s="37">
        <v>0.48</v>
      </c>
      <c r="G23" s="37">
        <v>0.54</v>
      </c>
    </row>
    <row r="24" spans="1:7" x14ac:dyDescent="0.25">
      <c r="A24" s="36" t="s">
        <v>67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</row>
    <row r="25" spans="1:7" x14ac:dyDescent="0.25">
      <c r="A25" s="36" t="s">
        <v>68</v>
      </c>
      <c r="B25" s="37">
        <v>0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</row>
    <row r="26" spans="1:7" x14ac:dyDescent="0.25">
      <c r="A26" s="36" t="s">
        <v>98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</row>
    <row r="27" spans="1:7" x14ac:dyDescent="0.25">
      <c r="A27" s="36" t="s">
        <v>11</v>
      </c>
      <c r="B27" s="37">
        <v>0.26</v>
      </c>
      <c r="C27" s="37">
        <v>0.4</v>
      </c>
      <c r="D27" s="37">
        <v>0.31</v>
      </c>
      <c r="E27" s="37">
        <v>0.24</v>
      </c>
      <c r="F27" s="37">
        <v>0.45999999999999996</v>
      </c>
      <c r="G27" s="37">
        <v>0.52</v>
      </c>
    </row>
    <row r="28" spans="1:7" x14ac:dyDescent="0.25">
      <c r="A28" s="36" t="s">
        <v>12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</row>
    <row r="29" spans="1:7" x14ac:dyDescent="0.25">
      <c r="A29" s="36" t="s">
        <v>13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</row>
    <row r="30" spans="1:7" x14ac:dyDescent="0.25">
      <c r="A30" s="36" t="s">
        <v>14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</row>
    <row r="31" spans="1:7" x14ac:dyDescent="0.25">
      <c r="A31" s="36" t="s">
        <v>15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</row>
    <row r="32" spans="1:7" x14ac:dyDescent="0.25">
      <c r="A32" s="36" t="s">
        <v>16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</row>
    <row r="33" spans="1:7" x14ac:dyDescent="0.25">
      <c r="A33" s="36" t="s">
        <v>53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</row>
    <row r="34" spans="1:7" x14ac:dyDescent="0.25">
      <c r="A34" s="36" t="s">
        <v>55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</row>
    <row r="35" spans="1:7" x14ac:dyDescent="0.25">
      <c r="A35" s="36" t="s">
        <v>56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</row>
    <row r="36" spans="1:7" x14ac:dyDescent="0.25">
      <c r="A36" s="36" t="s">
        <v>57</v>
      </c>
      <c r="B36" s="37">
        <v>0.46499999999999997</v>
      </c>
      <c r="C36" s="37">
        <v>0.45</v>
      </c>
      <c r="D36" s="37">
        <v>0.41</v>
      </c>
      <c r="E36" s="37">
        <v>0.33999999999999997</v>
      </c>
      <c r="F36" s="37">
        <v>0.54</v>
      </c>
      <c r="G36" s="37">
        <v>0.55999999999999994</v>
      </c>
    </row>
    <row r="37" spans="1:7" x14ac:dyDescent="0.25">
      <c r="A37" s="36" t="s">
        <v>59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</row>
    <row r="38" spans="1:7" x14ac:dyDescent="0.25">
      <c r="A38" s="36" t="s">
        <v>61</v>
      </c>
      <c r="B38" s="37">
        <v>0.46499999999999997</v>
      </c>
      <c r="C38" s="37">
        <v>0.45</v>
      </c>
      <c r="D38" s="37">
        <v>0.41</v>
      </c>
      <c r="E38" s="37">
        <v>0.33999999999999997</v>
      </c>
      <c r="F38" s="37">
        <v>0.54</v>
      </c>
      <c r="G38" s="37">
        <v>0.55999999999999994</v>
      </c>
    </row>
    <row r="39" spans="1:7" x14ac:dyDescent="0.25">
      <c r="A39" s="36" t="s">
        <v>60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</row>
    <row r="40" spans="1:7" x14ac:dyDescent="0.25">
      <c r="A40" s="36" t="s">
        <v>99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</row>
    <row r="41" spans="1:7" x14ac:dyDescent="0.25">
      <c r="A41" s="36" t="s">
        <v>100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</row>
    <row r="42" spans="1:7" x14ac:dyDescent="0.25">
      <c r="A42" s="36" t="s">
        <v>101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</row>
    <row r="43" spans="1:7" x14ac:dyDescent="0.25">
      <c r="A43" s="36" t="s">
        <v>102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</row>
    <row r="44" spans="1:7" x14ac:dyDescent="0.25">
      <c r="A44" s="36" t="s">
        <v>103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</row>
    <row r="45" spans="1:7" x14ac:dyDescent="0.25">
      <c r="A45" s="36" t="s">
        <v>104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</row>
    <row r="46" spans="1:7" x14ac:dyDescent="0.25">
      <c r="A46" s="36" t="s">
        <v>69</v>
      </c>
      <c r="B46" s="37">
        <v>0.44</v>
      </c>
      <c r="C46" s="37">
        <v>0.48</v>
      </c>
      <c r="D46" s="37">
        <v>0.48</v>
      </c>
      <c r="E46" s="37">
        <v>0.24</v>
      </c>
      <c r="F46" s="37">
        <v>0.45999999999999996</v>
      </c>
      <c r="G46" s="37">
        <v>0.55999999999999994</v>
      </c>
    </row>
    <row r="47" spans="1:7" x14ac:dyDescent="0.25">
      <c r="A47" s="36" t="s">
        <v>70</v>
      </c>
      <c r="B47" s="37">
        <v>0.44</v>
      </c>
      <c r="C47" s="37">
        <v>0.48</v>
      </c>
      <c r="D47" s="37">
        <v>0.48</v>
      </c>
      <c r="E47" s="37">
        <v>0.24</v>
      </c>
      <c r="F47" s="37">
        <v>0.45999999999999996</v>
      </c>
      <c r="G47" s="37">
        <v>0.55999999999999994</v>
      </c>
    </row>
    <row r="48" spans="1:7" x14ac:dyDescent="0.25">
      <c r="A48" s="36" t="s">
        <v>71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</row>
    <row r="49" spans="1:7" x14ac:dyDescent="0.25">
      <c r="A49" s="36" t="s">
        <v>72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</row>
    <row r="50" spans="1:7" x14ac:dyDescent="0.25">
      <c r="A50" s="36" t="s">
        <v>73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</row>
    <row r="51" spans="1:7" x14ac:dyDescent="0.25">
      <c r="A51" s="36" t="s">
        <v>74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</row>
    <row r="52" spans="1:7" x14ac:dyDescent="0.25">
      <c r="A52" s="36" t="s">
        <v>131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</row>
    <row r="53" spans="1:7" x14ac:dyDescent="0.25">
      <c r="A53" s="36" t="s">
        <v>105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</row>
    <row r="54" spans="1:7" x14ac:dyDescent="0.25">
      <c r="A54" s="36" t="s">
        <v>17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</row>
    <row r="55" spans="1:7" x14ac:dyDescent="0.25">
      <c r="A55" s="36" t="s">
        <v>18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</row>
    <row r="56" spans="1:7" x14ac:dyDescent="0.25">
      <c r="A56" s="36" t="s">
        <v>19</v>
      </c>
      <c r="B56" s="37">
        <v>0</v>
      </c>
      <c r="C56" s="37">
        <v>0.42</v>
      </c>
      <c r="D56" s="37">
        <v>0.25</v>
      </c>
      <c r="E56" s="37">
        <v>0.25</v>
      </c>
      <c r="F56" s="37">
        <v>0.47</v>
      </c>
      <c r="G56" s="37">
        <v>0.53</v>
      </c>
    </row>
    <row r="57" spans="1:7" x14ac:dyDescent="0.25">
      <c r="A57" s="36" t="s">
        <v>20</v>
      </c>
      <c r="B57" s="37">
        <v>0</v>
      </c>
      <c r="C57" s="37">
        <v>0.42</v>
      </c>
      <c r="D57" s="37">
        <v>0.25</v>
      </c>
      <c r="E57" s="37">
        <v>0.25</v>
      </c>
      <c r="F57" s="37">
        <v>0.47</v>
      </c>
      <c r="G57" s="37">
        <v>0.53</v>
      </c>
    </row>
    <row r="58" spans="1:7" x14ac:dyDescent="0.25">
      <c r="A58" s="36" t="s">
        <v>106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</row>
    <row r="59" spans="1:7" x14ac:dyDescent="0.25">
      <c r="A59" s="36" t="s">
        <v>75</v>
      </c>
      <c r="B59" s="37">
        <v>0.39</v>
      </c>
      <c r="C59" s="37">
        <v>0.44</v>
      </c>
      <c r="D59" s="37">
        <v>0.39999999999999997</v>
      </c>
      <c r="E59" s="37">
        <v>0.24</v>
      </c>
      <c r="F59" s="37">
        <v>0.44</v>
      </c>
      <c r="G59" s="37">
        <v>0.55999999999999994</v>
      </c>
    </row>
    <row r="60" spans="1:7" x14ac:dyDescent="0.25">
      <c r="A60" s="36" t="s">
        <v>76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</row>
    <row r="61" spans="1:7" x14ac:dyDescent="0.25">
      <c r="A61" s="36" t="s">
        <v>77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</row>
    <row r="62" spans="1:7" x14ac:dyDescent="0.25">
      <c r="A62" s="36" t="s">
        <v>78</v>
      </c>
      <c r="B62" s="37">
        <v>0.35</v>
      </c>
      <c r="C62" s="37">
        <v>0.33999999999999997</v>
      </c>
      <c r="D62" s="37">
        <v>0.33999999999999997</v>
      </c>
      <c r="E62" s="37">
        <v>0.24</v>
      </c>
      <c r="F62" s="37">
        <v>0.48</v>
      </c>
      <c r="G62" s="37">
        <v>0.54</v>
      </c>
    </row>
    <row r="63" spans="1:7" x14ac:dyDescent="0.25">
      <c r="A63" s="36" t="s">
        <v>79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</row>
    <row r="64" spans="1:7" x14ac:dyDescent="0.25">
      <c r="A64" s="36" t="s">
        <v>107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</row>
    <row r="65" spans="1:7" x14ac:dyDescent="0.25">
      <c r="A65" s="36" t="s">
        <v>108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</row>
    <row r="66" spans="1:7" x14ac:dyDescent="0.25">
      <c r="A66" s="36"/>
      <c r="B66" s="37"/>
      <c r="C66" s="37"/>
      <c r="D66" s="37"/>
      <c r="E66" s="37"/>
      <c r="F66" s="37"/>
      <c r="G66" s="37"/>
    </row>
    <row r="67" spans="1:7" x14ac:dyDescent="0.25">
      <c r="A67" s="36"/>
      <c r="B67" s="37"/>
      <c r="C67" s="37"/>
      <c r="D67" s="37"/>
      <c r="E67" s="37"/>
      <c r="F67" s="37"/>
      <c r="G67" s="37"/>
    </row>
    <row r="68" spans="1:7" x14ac:dyDescent="0.25">
      <c r="A68" s="36"/>
      <c r="B68" s="37"/>
      <c r="C68" s="37"/>
      <c r="D68" s="37"/>
      <c r="E68" s="37"/>
      <c r="F68" s="37"/>
      <c r="G68" s="37"/>
    </row>
    <row r="69" spans="1:7" x14ac:dyDescent="0.25">
      <c r="A69" s="36"/>
      <c r="B69" s="37"/>
      <c r="C69" s="37"/>
      <c r="D69" s="37"/>
      <c r="E69" s="37"/>
      <c r="F69" s="37"/>
      <c r="G69" s="37"/>
    </row>
    <row r="70" spans="1:7" x14ac:dyDescent="0.25">
      <c r="A70" s="36"/>
      <c r="B70" s="37"/>
      <c r="C70" s="37"/>
      <c r="D70" s="37"/>
      <c r="E70" s="37"/>
      <c r="F70" s="37"/>
      <c r="G70" s="37"/>
    </row>
    <row r="71" spans="1:7" x14ac:dyDescent="0.25">
      <c r="A71" s="36"/>
      <c r="B71" s="37"/>
      <c r="C71" s="37"/>
      <c r="D71" s="37"/>
      <c r="E71" s="37"/>
      <c r="F71" s="37"/>
      <c r="G71" s="37"/>
    </row>
    <row r="72" spans="1:7" x14ac:dyDescent="0.25">
      <c r="A72" s="36"/>
      <c r="B72" s="37"/>
      <c r="C72" s="37"/>
      <c r="D72" s="37"/>
      <c r="E72" s="37"/>
      <c r="F72" s="37"/>
      <c r="G72" s="37"/>
    </row>
    <row r="73" spans="1:7" x14ac:dyDescent="0.25">
      <c r="A73" s="36"/>
      <c r="B73" s="37"/>
      <c r="C73" s="37"/>
      <c r="D73" s="37"/>
      <c r="E73" s="37"/>
      <c r="F73" s="37"/>
      <c r="G73" s="37"/>
    </row>
    <row r="74" spans="1:7" x14ac:dyDescent="0.25">
      <c r="A74" s="36"/>
      <c r="B74" s="37"/>
      <c r="C74" s="37"/>
      <c r="D74" s="37"/>
      <c r="E74" s="37"/>
      <c r="F74" s="37"/>
      <c r="G74" s="37"/>
    </row>
    <row r="75" spans="1:7" x14ac:dyDescent="0.25">
      <c r="A75" s="36"/>
      <c r="B75" s="37"/>
      <c r="C75" s="37"/>
      <c r="D75" s="37"/>
      <c r="E75" s="37"/>
      <c r="F75" s="37"/>
      <c r="G75" s="37"/>
    </row>
    <row r="76" spans="1:7" x14ac:dyDescent="0.25">
      <c r="A76" s="36"/>
      <c r="B76" s="37"/>
      <c r="C76" s="37"/>
      <c r="D76" s="37"/>
      <c r="E76" s="37"/>
      <c r="F76" s="37"/>
      <c r="G76" s="37"/>
    </row>
    <row r="77" spans="1:7" x14ac:dyDescent="0.25">
      <c r="A77" s="36"/>
      <c r="B77" s="37"/>
      <c r="C77" s="37"/>
      <c r="D77" s="37"/>
      <c r="E77" s="37"/>
      <c r="F77" s="37"/>
      <c r="G77" s="37"/>
    </row>
    <row r="78" spans="1:7" x14ac:dyDescent="0.25">
      <c r="A78" s="36"/>
      <c r="B78" s="37"/>
      <c r="C78" s="37"/>
      <c r="D78" s="37"/>
      <c r="E78" s="37"/>
      <c r="F78" s="37"/>
      <c r="G78" s="37"/>
    </row>
    <row r="79" spans="1:7" x14ac:dyDescent="0.25">
      <c r="A79" s="36"/>
      <c r="B79" s="37"/>
      <c r="C79" s="37"/>
      <c r="D79" s="37"/>
      <c r="E79" s="37"/>
      <c r="F79" s="37"/>
      <c r="G79" s="37"/>
    </row>
    <row r="80" spans="1:7" x14ac:dyDescent="0.25">
      <c r="A80" s="36"/>
      <c r="B80" s="37"/>
      <c r="C80" s="37"/>
      <c r="D80" s="37"/>
      <c r="E80" s="37"/>
      <c r="F80" s="37"/>
      <c r="G80" s="37"/>
    </row>
    <row r="81" spans="1:7" x14ac:dyDescent="0.25">
      <c r="A81" s="36"/>
      <c r="B81" s="37"/>
      <c r="C81" s="37"/>
      <c r="D81" s="37"/>
      <c r="E81" s="37"/>
      <c r="F81" s="37"/>
      <c r="G81" s="37"/>
    </row>
    <row r="82" spans="1:7" x14ac:dyDescent="0.25">
      <c r="A82" s="36"/>
      <c r="B82" s="37"/>
      <c r="C82" s="37"/>
      <c r="D82" s="37"/>
      <c r="E82" s="37"/>
      <c r="F82" s="37"/>
      <c r="G82" s="37"/>
    </row>
    <row r="83" spans="1:7" x14ac:dyDescent="0.25">
      <c r="A83" s="36"/>
      <c r="B83" s="37"/>
      <c r="C83" s="37"/>
      <c r="D83" s="37"/>
      <c r="E83" s="37"/>
      <c r="F83" s="37"/>
      <c r="G83" s="37"/>
    </row>
    <row r="84" spans="1:7" x14ac:dyDescent="0.25">
      <c r="A84" s="36"/>
      <c r="B84" s="37"/>
      <c r="C84" s="37"/>
      <c r="D84" s="37"/>
      <c r="E84" s="37"/>
      <c r="F84" s="37"/>
      <c r="G84" s="37"/>
    </row>
    <row r="85" spans="1:7" x14ac:dyDescent="0.25">
      <c r="A85" s="36"/>
      <c r="B85" s="37"/>
      <c r="C85" s="37"/>
      <c r="D85" s="37"/>
      <c r="E85" s="37"/>
      <c r="F85" s="37"/>
      <c r="G85" s="37"/>
    </row>
    <row r="86" spans="1:7" x14ac:dyDescent="0.25">
      <c r="A86" s="36"/>
      <c r="B86" s="37"/>
      <c r="C86" s="37"/>
      <c r="D86" s="37"/>
      <c r="E86" s="37"/>
      <c r="F86" s="37"/>
      <c r="G86" s="37"/>
    </row>
    <row r="87" spans="1:7" x14ac:dyDescent="0.25">
      <c r="A87" s="36"/>
      <c r="B87" s="37"/>
      <c r="C87" s="37"/>
      <c r="D87" s="37"/>
      <c r="E87" s="37"/>
      <c r="F87" s="37"/>
      <c r="G87" s="37"/>
    </row>
    <row r="88" spans="1:7" x14ac:dyDescent="0.25">
      <c r="A88" s="36"/>
      <c r="B88" s="37"/>
      <c r="C88" s="37"/>
      <c r="D88" s="37"/>
      <c r="E88" s="37"/>
      <c r="F88" s="37"/>
      <c r="G88" s="37"/>
    </row>
    <row r="89" spans="1:7" x14ac:dyDescent="0.25">
      <c r="A89" s="36"/>
      <c r="B89" s="37"/>
      <c r="C89" s="37"/>
      <c r="D89" s="37"/>
      <c r="E89" s="37"/>
      <c r="F89" s="37"/>
      <c r="G89" s="37"/>
    </row>
    <row r="90" spans="1:7" x14ac:dyDescent="0.25">
      <c r="A90" s="36"/>
      <c r="B90" s="37"/>
      <c r="C90" s="37"/>
      <c r="D90" s="37"/>
      <c r="E90" s="37"/>
      <c r="F90" s="37"/>
      <c r="G90" s="37"/>
    </row>
    <row r="91" spans="1:7" x14ac:dyDescent="0.25">
      <c r="A91" s="36"/>
      <c r="B91" s="37"/>
      <c r="C91" s="37"/>
      <c r="D91" s="37"/>
      <c r="E91" s="37"/>
      <c r="F91" s="37"/>
      <c r="G91" s="37"/>
    </row>
    <row r="92" spans="1:7" x14ac:dyDescent="0.25">
      <c r="A92" s="36"/>
      <c r="B92" s="37"/>
      <c r="C92" s="37"/>
      <c r="D92" s="37"/>
      <c r="E92" s="37"/>
      <c r="F92" s="37"/>
      <c r="G92" s="37"/>
    </row>
    <row r="93" spans="1:7" x14ac:dyDescent="0.25">
      <c r="A93" s="36"/>
      <c r="B93" s="37"/>
      <c r="C93" s="37"/>
      <c r="D93" s="37"/>
      <c r="E93" s="37"/>
      <c r="F93" s="37"/>
      <c r="G93" s="37"/>
    </row>
    <row r="94" spans="1:7" x14ac:dyDescent="0.25">
      <c r="A94" s="36"/>
      <c r="B94" s="37"/>
      <c r="C94" s="37"/>
      <c r="D94" s="37"/>
      <c r="E94" s="37"/>
      <c r="F94" s="37"/>
      <c r="G94" s="37"/>
    </row>
    <row r="95" spans="1:7" x14ac:dyDescent="0.25">
      <c r="A95" s="36"/>
      <c r="B95" s="37"/>
      <c r="C95" s="37"/>
      <c r="D95" s="37"/>
      <c r="E95" s="37"/>
      <c r="F95" s="37"/>
      <c r="G95" s="37"/>
    </row>
    <row r="96" spans="1:7" x14ac:dyDescent="0.25">
      <c r="A96" s="36"/>
      <c r="B96" s="37"/>
      <c r="C96" s="37"/>
      <c r="D96" s="37"/>
      <c r="E96" s="37"/>
      <c r="F96" s="37"/>
      <c r="G96" s="37"/>
    </row>
    <row r="97" spans="1:7" x14ac:dyDescent="0.25">
      <c r="A97" s="36"/>
      <c r="B97" s="37"/>
      <c r="C97" s="37"/>
      <c r="D97" s="37"/>
      <c r="E97" s="37"/>
      <c r="F97" s="37"/>
      <c r="G97" s="37"/>
    </row>
    <row r="98" spans="1:7" x14ac:dyDescent="0.25">
      <c r="A98" s="36"/>
      <c r="B98" s="37"/>
      <c r="C98" s="37"/>
      <c r="D98" s="37"/>
      <c r="E98" s="37"/>
      <c r="F98" s="37"/>
      <c r="G98" s="37"/>
    </row>
    <row r="99" spans="1:7" x14ac:dyDescent="0.25">
      <c r="A99" s="36"/>
      <c r="B99" s="37"/>
      <c r="C99" s="37"/>
      <c r="D99" s="37"/>
      <c r="E99" s="37"/>
      <c r="F99" s="37"/>
      <c r="G99" s="37"/>
    </row>
    <row r="100" spans="1:7" x14ac:dyDescent="0.25">
      <c r="A100" s="36"/>
      <c r="B100" s="37"/>
      <c r="C100" s="37"/>
      <c r="D100" s="37"/>
      <c r="E100" s="37"/>
      <c r="F100" s="37"/>
      <c r="G100" s="37"/>
    </row>
    <row r="101" spans="1:7" x14ac:dyDescent="0.25">
      <c r="A101" s="36"/>
      <c r="B101" s="37"/>
      <c r="C101" s="37"/>
      <c r="D101" s="37"/>
      <c r="E101" s="37"/>
      <c r="F101" s="37"/>
      <c r="G101" s="37"/>
    </row>
    <row r="102" spans="1:7" x14ac:dyDescent="0.25">
      <c r="A102" s="36"/>
      <c r="B102" s="37"/>
      <c r="C102" s="37"/>
      <c r="D102" s="37"/>
      <c r="E102" s="37"/>
      <c r="F102" s="37"/>
      <c r="G102" s="37"/>
    </row>
    <row r="103" spans="1:7" x14ac:dyDescent="0.25">
      <c r="A103" s="36"/>
      <c r="B103" s="37"/>
      <c r="C103" s="37"/>
      <c r="D103" s="37"/>
      <c r="E103" s="37"/>
      <c r="F103" s="37"/>
      <c r="G103" s="37"/>
    </row>
    <row r="104" spans="1:7" x14ac:dyDescent="0.25">
      <c r="A104" s="36"/>
      <c r="B104" s="37"/>
      <c r="C104" s="37"/>
      <c r="D104" s="37"/>
      <c r="E104" s="37"/>
      <c r="F104" s="37"/>
      <c r="G104" s="37"/>
    </row>
    <row r="105" spans="1:7" x14ac:dyDescent="0.25">
      <c r="A105" s="36"/>
      <c r="B105" s="37"/>
      <c r="C105" s="37"/>
      <c r="D105" s="37"/>
      <c r="E105" s="37"/>
      <c r="F105" s="37"/>
      <c r="G105" s="37"/>
    </row>
    <row r="106" spans="1:7" x14ac:dyDescent="0.25">
      <c r="A106" s="36"/>
      <c r="B106" s="37"/>
      <c r="C106" s="37"/>
      <c r="D106" s="37"/>
      <c r="E106" s="37"/>
      <c r="F106" s="37"/>
      <c r="G106" s="37"/>
    </row>
    <row r="107" spans="1:7" x14ac:dyDescent="0.25">
      <c r="A107" s="36"/>
      <c r="B107" s="37"/>
      <c r="C107" s="37"/>
      <c r="D107" s="37"/>
      <c r="E107" s="37"/>
      <c r="F107" s="37"/>
      <c r="G107" s="37"/>
    </row>
    <row r="108" spans="1:7" x14ac:dyDescent="0.25">
      <c r="A108" s="36"/>
      <c r="B108" s="37"/>
      <c r="C108" s="37"/>
      <c r="D108" s="37"/>
      <c r="E108" s="37"/>
      <c r="F108" s="37"/>
      <c r="G108" s="37"/>
    </row>
    <row r="109" spans="1:7" x14ac:dyDescent="0.25">
      <c r="A109" s="36"/>
      <c r="B109" s="37"/>
      <c r="C109" s="37"/>
      <c r="D109" s="37"/>
      <c r="E109" s="37"/>
      <c r="F109" s="37"/>
      <c r="G109" s="37"/>
    </row>
    <row r="110" spans="1:7" x14ac:dyDescent="0.25">
      <c r="A110" s="36"/>
      <c r="B110" s="37"/>
      <c r="C110" s="37"/>
      <c r="D110" s="37"/>
      <c r="E110" s="37"/>
      <c r="F110" s="37"/>
      <c r="G110" s="37"/>
    </row>
    <row r="111" spans="1:7" x14ac:dyDescent="0.25">
      <c r="A111" s="36"/>
      <c r="B111" s="37"/>
      <c r="C111" s="37"/>
      <c r="D111" s="37"/>
      <c r="E111" s="37"/>
      <c r="F111" s="37"/>
      <c r="G111" s="37"/>
    </row>
    <row r="112" spans="1:7" x14ac:dyDescent="0.25">
      <c r="A112" s="36"/>
      <c r="B112" s="37"/>
      <c r="C112" s="37"/>
      <c r="D112" s="37"/>
      <c r="E112" s="37"/>
      <c r="F112" s="37"/>
      <c r="G112" s="37"/>
    </row>
    <row r="113" spans="1:7" x14ac:dyDescent="0.25">
      <c r="A113" s="36"/>
      <c r="B113" s="37"/>
      <c r="C113" s="37"/>
      <c r="D113" s="37"/>
      <c r="E113" s="37"/>
      <c r="F113" s="37"/>
      <c r="G113" s="37"/>
    </row>
    <row r="114" spans="1:7" x14ac:dyDescent="0.25">
      <c r="A114" s="36"/>
      <c r="B114" s="37"/>
      <c r="C114" s="37"/>
      <c r="D114" s="37"/>
      <c r="E114" s="37"/>
      <c r="F114" s="37"/>
      <c r="G114" s="37"/>
    </row>
    <row r="115" spans="1:7" x14ac:dyDescent="0.25">
      <c r="A115" s="36"/>
      <c r="B115" s="37"/>
      <c r="C115" s="37"/>
      <c r="D115" s="37"/>
      <c r="E115" s="37"/>
      <c r="F115" s="37"/>
      <c r="G115" s="37"/>
    </row>
    <row r="116" spans="1:7" x14ac:dyDescent="0.25">
      <c r="A116" s="36"/>
      <c r="B116" s="37"/>
      <c r="C116" s="37"/>
      <c r="D116" s="37"/>
      <c r="E116" s="37"/>
      <c r="F116" s="37"/>
      <c r="G116" s="37"/>
    </row>
    <row r="117" spans="1:7" x14ac:dyDescent="0.25">
      <c r="A117" s="36"/>
      <c r="B117" s="37"/>
      <c r="C117" s="37"/>
      <c r="D117" s="37"/>
      <c r="E117" s="37"/>
      <c r="F117" s="37"/>
      <c r="G117" s="37"/>
    </row>
    <row r="118" spans="1:7" x14ac:dyDescent="0.25">
      <c r="A118" s="36"/>
      <c r="B118" s="37"/>
      <c r="C118" s="37"/>
      <c r="D118" s="37"/>
      <c r="E118" s="37"/>
      <c r="F118" s="37"/>
      <c r="G118" s="37"/>
    </row>
    <row r="119" spans="1:7" x14ac:dyDescent="0.25">
      <c r="A119" s="36"/>
      <c r="B119" s="37"/>
      <c r="C119" s="37"/>
      <c r="D119" s="37"/>
      <c r="E119" s="37"/>
      <c r="F119" s="37"/>
      <c r="G119" s="37"/>
    </row>
    <row r="120" spans="1:7" x14ac:dyDescent="0.25">
      <c r="A120" s="36"/>
      <c r="B120" s="37"/>
      <c r="C120" s="37"/>
      <c r="D120" s="37"/>
      <c r="E120" s="37"/>
      <c r="F120" s="37"/>
      <c r="G120" s="37"/>
    </row>
    <row r="121" spans="1:7" x14ac:dyDescent="0.25">
      <c r="A121" s="36"/>
      <c r="B121" s="37"/>
      <c r="C121" s="37"/>
      <c r="D121" s="37"/>
      <c r="E121" s="37"/>
      <c r="F121" s="37"/>
      <c r="G121" s="37"/>
    </row>
    <row r="122" spans="1:7" x14ac:dyDescent="0.25">
      <c r="A122" s="36"/>
      <c r="B122" s="37"/>
      <c r="C122" s="37"/>
      <c r="D122" s="37"/>
      <c r="E122" s="37"/>
      <c r="F122" s="37"/>
      <c r="G122" s="37"/>
    </row>
    <row r="123" spans="1:7" x14ac:dyDescent="0.25">
      <c r="A123" s="36"/>
      <c r="B123" s="37"/>
      <c r="C123" s="37"/>
      <c r="D123" s="37"/>
      <c r="E123" s="37"/>
      <c r="F123" s="37"/>
      <c r="G123" s="37"/>
    </row>
    <row r="124" spans="1:7" x14ac:dyDescent="0.25">
      <c r="A124" s="36"/>
      <c r="B124" s="37"/>
      <c r="C124" s="37"/>
      <c r="D124" s="37"/>
      <c r="E124" s="37"/>
      <c r="F124" s="37"/>
      <c r="G124" s="37"/>
    </row>
    <row r="125" spans="1:7" x14ac:dyDescent="0.25">
      <c r="A125" s="36"/>
      <c r="B125" s="37"/>
      <c r="C125" s="37"/>
      <c r="D125" s="37"/>
      <c r="E125" s="37"/>
      <c r="F125" s="37"/>
      <c r="G125" s="37"/>
    </row>
    <row r="126" spans="1:7" x14ac:dyDescent="0.25">
      <c r="A126" s="36"/>
      <c r="B126" s="37"/>
      <c r="C126" s="37"/>
      <c r="D126" s="37"/>
      <c r="E126" s="37"/>
      <c r="F126" s="37"/>
      <c r="G126" s="37"/>
    </row>
    <row r="127" spans="1:7" x14ac:dyDescent="0.25">
      <c r="A127" s="36"/>
      <c r="B127" s="37"/>
      <c r="C127" s="37"/>
      <c r="D127" s="37"/>
      <c r="E127" s="37"/>
      <c r="F127" s="37"/>
      <c r="G127" s="37"/>
    </row>
  </sheetData>
  <mergeCells count="3">
    <mergeCell ref="A1:G1"/>
    <mergeCell ref="B2:E2"/>
    <mergeCell ref="F2:G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7213-115E-4876-98EE-4A4236F4E9DF}">
  <dimension ref="A1:H26"/>
  <sheetViews>
    <sheetView topLeftCell="A2" workbookViewId="0">
      <selection activeCell="A3" sqref="A3"/>
    </sheetView>
  </sheetViews>
  <sheetFormatPr defaultColWidth="9.140625" defaultRowHeight="11.25" x14ac:dyDescent="0.2"/>
  <cols>
    <col min="1" max="1" width="52.42578125" style="8" bestFit="1" customWidth="1"/>
    <col min="2" max="2" width="6.140625" style="8" bestFit="1" customWidth="1"/>
    <col min="3" max="3" width="8.85546875" style="8" bestFit="1" customWidth="1"/>
    <col min="4" max="4" width="7.7109375" style="8" bestFit="1" customWidth="1"/>
    <col min="5" max="5" width="7.28515625" style="8" bestFit="1" customWidth="1"/>
    <col min="6" max="6" width="6.140625" style="8" bestFit="1" customWidth="1"/>
    <col min="7" max="7" width="8.85546875" style="8" bestFit="1" customWidth="1"/>
    <col min="8" max="16384" width="9.140625" style="8"/>
  </cols>
  <sheetData>
    <row r="1" spans="1:8" x14ac:dyDescent="0.2">
      <c r="A1" s="146" t="s">
        <v>120</v>
      </c>
      <c r="B1" s="146"/>
      <c r="C1" s="146"/>
      <c r="D1" s="146"/>
      <c r="E1" s="146"/>
      <c r="F1" s="146"/>
      <c r="G1" s="146"/>
    </row>
    <row r="2" spans="1:8" x14ac:dyDescent="0.2">
      <c r="A2" s="11" t="s">
        <v>31</v>
      </c>
      <c r="B2" s="147" t="s">
        <v>32</v>
      </c>
      <c r="C2" s="147"/>
      <c r="D2" s="147"/>
      <c r="E2" s="147"/>
      <c r="F2" s="147" t="s">
        <v>30</v>
      </c>
      <c r="G2" s="147"/>
    </row>
    <row r="3" spans="1:8" ht="22.5" x14ac:dyDescent="0.2">
      <c r="A3" s="11" t="s">
        <v>33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34</v>
      </c>
      <c r="G3" s="11" t="s">
        <v>35</v>
      </c>
    </row>
    <row r="4" spans="1:8" x14ac:dyDescent="0.2">
      <c r="A4" s="13" t="s">
        <v>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8" t="str">
        <f>VLOOKUP(A4,'TW SATP_R'!$A$4:$A$127,1,0)</f>
        <v>ANDHRA PRADESH - KRISHNA(VIJAYWADA)</v>
      </c>
    </row>
    <row r="5" spans="1:8" x14ac:dyDescent="0.2">
      <c r="A5" s="13" t="s">
        <v>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8" t="str">
        <f>VLOOKUP(A5,'TW SATP_R'!$A$4:$A$127,1,0)</f>
        <v>ANDHRA PRADESH - REST</v>
      </c>
    </row>
    <row r="6" spans="1:8" x14ac:dyDescent="0.2">
      <c r="A6" s="13" t="s">
        <v>10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8" t="str">
        <f>VLOOKUP(A6,'TW SATP_R'!$A$4:$A$127,1,0)</f>
        <v>ANDHRA PRADESH - VISAKHAPATNAM</v>
      </c>
    </row>
    <row r="7" spans="1:8" x14ac:dyDescent="0.2">
      <c r="A7" s="13" t="s">
        <v>11</v>
      </c>
      <c r="B7" s="5">
        <v>0.26</v>
      </c>
      <c r="C7" s="25">
        <v>0.4</v>
      </c>
      <c r="D7" s="5">
        <v>0.31</v>
      </c>
      <c r="E7" s="5">
        <v>0.24</v>
      </c>
      <c r="F7" s="5">
        <v>0.45999999999999996</v>
      </c>
      <c r="G7" s="5">
        <v>0.52</v>
      </c>
      <c r="H7" s="8" t="str">
        <f>VLOOKUP(A7,'TW SATP_R'!$A$4:$A$127,1,0)</f>
        <v>KARNATAKA - BANGALORE</v>
      </c>
    </row>
    <row r="8" spans="1:8" x14ac:dyDescent="0.2">
      <c r="A8" s="13" t="s">
        <v>19</v>
      </c>
      <c r="B8" s="5">
        <v>0</v>
      </c>
      <c r="C8" s="5">
        <v>0.42</v>
      </c>
      <c r="D8" s="5">
        <v>0.25</v>
      </c>
      <c r="E8" s="5">
        <v>0.25</v>
      </c>
      <c r="F8" s="5">
        <v>0.47</v>
      </c>
      <c r="G8" s="5">
        <v>0.53</v>
      </c>
      <c r="H8" s="8" t="str">
        <f>VLOOKUP(A8,'TW SATP_R'!$A$4:$A$127,1,0)</f>
        <v>TELANGANA - HYDERABAD &amp; SURRONDING</v>
      </c>
    </row>
    <row r="9" spans="1:8" x14ac:dyDescent="0.2">
      <c r="A9" s="13" t="s">
        <v>20</v>
      </c>
      <c r="B9" s="5">
        <v>0</v>
      </c>
      <c r="C9" s="5">
        <v>0.42</v>
      </c>
      <c r="D9" s="5">
        <v>0.25</v>
      </c>
      <c r="E9" s="5">
        <v>0.25</v>
      </c>
      <c r="F9" s="5">
        <v>0.47</v>
      </c>
      <c r="G9" s="5">
        <v>0.53</v>
      </c>
      <c r="H9" s="8" t="str">
        <f>VLOOKUP(A9,'TW SATP_R'!$A$4:$A$127,1,0)</f>
        <v>TELANGANA - REST</v>
      </c>
    </row>
    <row r="10" spans="1:8" x14ac:dyDescent="0.2">
      <c r="A10" s="13" t="s">
        <v>52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8" t="str">
        <f>VLOOKUP(A10,'TW SATP_R'!$A$4:$A$127,1,0)</f>
        <v>GOA</v>
      </c>
    </row>
    <row r="11" spans="1:8" x14ac:dyDescent="0.2">
      <c r="A11" s="13" t="s">
        <v>53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8" t="str">
        <f>VLOOKUP(A11,'TW SATP_R'!$A$4:$A$127,1,0)</f>
        <v>MADHYA PRADESH - BHOPAL &amp; INDORE</v>
      </c>
    </row>
    <row r="12" spans="1:8" x14ac:dyDescent="0.2">
      <c r="A12" s="13" t="s">
        <v>55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8" t="str">
        <f>VLOOKUP(A12,'TW SATP_R'!$A$4:$A$127,1,0)</f>
        <v>MADHYA PRADESH - GWALIOR &amp; JABALPUR</v>
      </c>
    </row>
    <row r="13" spans="1:8" x14ac:dyDescent="0.2">
      <c r="A13" s="13" t="s">
        <v>56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8" t="str">
        <f>VLOOKUP(A13,'TW SATP_R'!$A$4:$A$127,1,0)</f>
        <v>MADHYA PRADESH - REST</v>
      </c>
    </row>
    <row r="14" spans="1:8" x14ac:dyDescent="0.2">
      <c r="A14" s="13" t="s">
        <v>57</v>
      </c>
      <c r="B14" s="5">
        <v>0.46499999999999997</v>
      </c>
      <c r="C14" s="5">
        <v>0.45</v>
      </c>
      <c r="D14" s="5">
        <v>0.41</v>
      </c>
      <c r="E14" s="5">
        <v>0.33999999999999997</v>
      </c>
      <c r="F14" s="5">
        <v>0.54</v>
      </c>
      <c r="G14" s="5">
        <v>0.55999999999999994</v>
      </c>
      <c r="H14" s="8" t="str">
        <f>VLOOKUP(A14,'TW SATP_R'!$A$4:$A$127,1,0)</f>
        <v>MAHARASHTRA - MUMBAI</v>
      </c>
    </row>
    <row r="15" spans="1:8" x14ac:dyDescent="0.2">
      <c r="A15" s="13" t="s">
        <v>59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8" t="str">
        <f>VLOOKUP(A15,'TW SATP_R'!$A$4:$A$127,1,0)</f>
        <v>MAHARASHTRA - NAGPUR</v>
      </c>
    </row>
    <row r="16" spans="1:8" x14ac:dyDescent="0.2">
      <c r="A16" s="13" t="s">
        <v>61</v>
      </c>
      <c r="B16" s="5">
        <v>0.46499999999999997</v>
      </c>
      <c r="C16" s="5">
        <v>0.45</v>
      </c>
      <c r="D16" s="5">
        <v>0.41</v>
      </c>
      <c r="E16" s="5">
        <v>0.33999999999999997</v>
      </c>
      <c r="F16" s="5">
        <v>0.54</v>
      </c>
      <c r="G16" s="5">
        <v>0.55999999999999994</v>
      </c>
      <c r="H16" s="8" t="str">
        <f>VLOOKUP(A16,'TW SATP_R'!$A$4:$A$127,1,0)</f>
        <v>MAHARASHTRA - PUNE</v>
      </c>
    </row>
    <row r="17" spans="1:8" x14ac:dyDescent="0.2">
      <c r="A17" s="13" t="s">
        <v>60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8" t="str">
        <f>VLOOKUP(A17,'TW SATP_R'!$A$4:$A$127,1,0)</f>
        <v>MAHARASHTRA - REST</v>
      </c>
    </row>
    <row r="18" spans="1:8" x14ac:dyDescent="0.2">
      <c r="A18" s="13" t="s">
        <v>65</v>
      </c>
      <c r="B18" s="5">
        <v>0.27999999999999997</v>
      </c>
      <c r="C18" s="5">
        <v>0.28999999999999998</v>
      </c>
      <c r="D18" s="5">
        <v>0.33</v>
      </c>
      <c r="E18" s="5">
        <v>0.24</v>
      </c>
      <c r="F18" s="5">
        <v>0.48</v>
      </c>
      <c r="G18" s="5">
        <v>0.54</v>
      </c>
      <c r="H18" s="8" t="str">
        <f>VLOOKUP(A18,'TW SATP_R'!$A$4:$A$127,1,0)</f>
        <v>HIMACHAL PRADESH - BILASPUR, MANDI, SOLAN, SHIMLA &amp; MANALI</v>
      </c>
    </row>
    <row r="19" spans="1:8" x14ac:dyDescent="0.2">
      <c r="A19" s="13" t="s">
        <v>66</v>
      </c>
      <c r="B19" s="5">
        <v>0.27999999999999997</v>
      </c>
      <c r="C19" s="5">
        <v>0.28999999999999998</v>
      </c>
      <c r="D19" s="5">
        <v>0.33</v>
      </c>
      <c r="E19" s="5">
        <v>0.24</v>
      </c>
      <c r="F19" s="5">
        <v>0.48</v>
      </c>
      <c r="G19" s="5">
        <v>0.54</v>
      </c>
      <c r="H19" s="8" t="str">
        <f>VLOOKUP(A19,'TW SATP_R'!$A$4:$A$127,1,0)</f>
        <v>HIMACHAL PRADESH - REST</v>
      </c>
    </row>
    <row r="20" spans="1:8" x14ac:dyDescent="0.2">
      <c r="A20" s="13" t="s">
        <v>69</v>
      </c>
      <c r="B20" s="5">
        <v>0.44</v>
      </c>
      <c r="C20" s="5">
        <v>0.48</v>
      </c>
      <c r="D20" s="5">
        <v>0.48</v>
      </c>
      <c r="E20" s="5">
        <v>0.24</v>
      </c>
      <c r="F20" s="5">
        <v>0.45999999999999996</v>
      </c>
      <c r="G20" s="5">
        <v>0.55999999999999994</v>
      </c>
      <c r="H20" s="8" t="str">
        <f>VLOOKUP(A20,'TW SATP_R'!$A$4:$A$127,1,0)</f>
        <v>PUNJAB - AMRITSAR &amp; SURRONDING</v>
      </c>
    </row>
    <row r="21" spans="1:8" x14ac:dyDescent="0.2">
      <c r="A21" s="13" t="s">
        <v>70</v>
      </c>
      <c r="B21" s="5">
        <v>0.44</v>
      </c>
      <c r="C21" s="5">
        <v>0.48</v>
      </c>
      <c r="D21" s="5">
        <v>0.48</v>
      </c>
      <c r="E21" s="5">
        <v>0.24</v>
      </c>
      <c r="F21" s="5">
        <v>0.45999999999999996</v>
      </c>
      <c r="G21" s="5">
        <v>0.55999999999999994</v>
      </c>
      <c r="H21" s="8" t="str">
        <f>VLOOKUP(A21,'TW SATP_R'!$A$4:$A$127,1,0)</f>
        <v>PUNJAB - LUDHIANA &amp; SURRONDING</v>
      </c>
    </row>
    <row r="22" spans="1:8" x14ac:dyDescent="0.2">
      <c r="A22" s="13" t="s">
        <v>75</v>
      </c>
      <c r="B22" s="5">
        <v>0.39</v>
      </c>
      <c r="C22" s="25">
        <v>0.44</v>
      </c>
      <c r="D22" s="5">
        <v>0.39999999999999997</v>
      </c>
      <c r="E22" s="5">
        <v>0.24</v>
      </c>
      <c r="F22" s="5">
        <v>0.44</v>
      </c>
      <c r="G22" s="5">
        <v>0.55999999999999994</v>
      </c>
      <c r="H22" s="8" t="str">
        <f>VLOOKUP(A22,'TW SATP_R'!$A$4:$A$127,1,0)</f>
        <v>UTTAR PRADESH - LUCKNOW, ALLAHABAD, GORAKHPUR, KANPUR &amp; VARANASI</v>
      </c>
    </row>
    <row r="23" spans="1:8" x14ac:dyDescent="0.2">
      <c r="A23" s="13" t="s">
        <v>78</v>
      </c>
      <c r="B23" s="5">
        <v>0.35</v>
      </c>
      <c r="C23" s="5">
        <v>0.33999999999999997</v>
      </c>
      <c r="D23" s="5">
        <v>0.33999999999999997</v>
      </c>
      <c r="E23" s="5">
        <v>0.24</v>
      </c>
      <c r="F23" s="5">
        <v>0.48</v>
      </c>
      <c r="G23" s="5">
        <v>0.54</v>
      </c>
      <c r="H23" s="8" t="str">
        <f>VLOOKUP(A23,'TW SATP_R'!$A$4:$A$127,1,0)</f>
        <v>UTTARAKHAND - DEHRADUN</v>
      </c>
    </row>
    <row r="24" spans="1:8" x14ac:dyDescent="0.2">
      <c r="A24" s="13" t="s">
        <v>107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8" t="str">
        <f>VLOOKUP(A24,'TW SATP_R'!$A$4:$A$127,1,0)</f>
        <v>WEST BENGAL - KOLKATA</v>
      </c>
    </row>
    <row r="25" spans="1:8" x14ac:dyDescent="0.2">
      <c r="A25" s="13" t="s">
        <v>108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8" t="str">
        <f>VLOOKUP(A25,'TW SATP_R'!$A$4:$A$127,1,0)</f>
        <v>WEST BENGAL - REST</v>
      </c>
    </row>
    <row r="26" spans="1:8" ht="12" x14ac:dyDescent="0.2">
      <c r="A26" s="13" t="s">
        <v>62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8" t="str">
        <f>VLOOKUP(A26,'TW SATP_R'!$A$4:$A$127,1,0)</f>
        <v>CHANDIGARH(TRICITY)</v>
      </c>
    </row>
  </sheetData>
  <autoFilter ref="A3:H26" xr:uid="{9A2E7213-115E-4876-98EE-4A4236F4E9DF}"/>
  <mergeCells count="3">
    <mergeCell ref="A1:G1"/>
    <mergeCell ref="B2:E2"/>
    <mergeCell ref="F2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91A3-50EC-44F1-AAB0-6C99288BA470}">
  <dimension ref="A1:C8"/>
  <sheetViews>
    <sheetView workbookViewId="0">
      <selection activeCell="E15" sqref="E15"/>
    </sheetView>
  </sheetViews>
  <sheetFormatPr defaultRowHeight="15" x14ac:dyDescent="0.25"/>
  <cols>
    <col min="1" max="1" width="20.7109375" bestFit="1" customWidth="1"/>
    <col min="2" max="2" width="16.28515625" customWidth="1"/>
    <col min="3" max="3" width="15.5703125" bestFit="1" customWidth="1"/>
  </cols>
  <sheetData>
    <row r="1" spans="1:3" x14ac:dyDescent="0.25">
      <c r="A1" s="148" t="s">
        <v>142</v>
      </c>
      <c r="B1" s="148"/>
      <c r="C1" s="148"/>
    </row>
    <row r="2" spans="1:3" x14ac:dyDescent="0.25">
      <c r="A2" s="26" t="s">
        <v>123</v>
      </c>
      <c r="B2" s="26" t="s">
        <v>124</v>
      </c>
      <c r="C2" s="30" t="s">
        <v>125</v>
      </c>
    </row>
    <row r="3" spans="1:3" x14ac:dyDescent="0.25">
      <c r="A3" s="149" t="s">
        <v>126</v>
      </c>
      <c r="B3" s="28" t="s">
        <v>47</v>
      </c>
      <c r="C3" s="31">
        <v>0.25</v>
      </c>
    </row>
    <row r="4" spans="1:3" x14ac:dyDescent="0.25">
      <c r="A4" s="149"/>
      <c r="B4" s="28" t="s">
        <v>127</v>
      </c>
      <c r="C4" s="31">
        <v>0.125</v>
      </c>
    </row>
    <row r="5" spans="1:3" x14ac:dyDescent="0.25">
      <c r="A5" s="149" t="s">
        <v>128</v>
      </c>
      <c r="B5" s="149"/>
      <c r="C5" s="31">
        <v>7.4999999999999997E-2</v>
      </c>
    </row>
    <row r="6" spans="1:3" x14ac:dyDescent="0.25">
      <c r="A6" s="149" t="s">
        <v>129</v>
      </c>
      <c r="B6" s="149"/>
      <c r="C6" s="32">
        <v>0.3</v>
      </c>
    </row>
    <row r="8" spans="1:3" x14ac:dyDescent="0.25">
      <c r="A8" s="27" t="s">
        <v>130</v>
      </c>
    </row>
  </sheetData>
  <mergeCells count="4">
    <mergeCell ref="A1:C1"/>
    <mergeCell ref="A3:A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PC Comp_R_1</vt:lpstr>
      <vt:lpstr>Sheet1</vt:lpstr>
      <vt:lpstr>PC Comp_R</vt:lpstr>
      <vt:lpstr>PC Comp</vt:lpstr>
      <vt:lpstr>PCTP_R_1</vt:lpstr>
      <vt:lpstr>PCTP_R</vt:lpstr>
      <vt:lpstr>PCTP</vt:lpstr>
      <vt:lpstr>TW Comp</vt:lpstr>
      <vt:lpstr>CV COMP_R_1_&lt;7.5T</vt:lpstr>
      <vt:lpstr>CV COMP_R_1_&gt;7.5T</vt:lpstr>
      <vt:lpstr>CV SATP_R_1 (2)</vt:lpstr>
      <vt:lpstr>CV SATP_R_1</vt:lpstr>
      <vt:lpstr>TW Comp_R_1</vt:lpstr>
      <vt:lpstr>TW Comp_R</vt:lpstr>
      <vt:lpstr>CV COMP_R</vt:lpstr>
      <vt:lpstr>CV Comp</vt:lpstr>
      <vt:lpstr>CV SATP_R</vt:lpstr>
      <vt:lpstr>CV SATP</vt:lpstr>
      <vt:lpstr>TW SATP_R_1</vt:lpstr>
      <vt:lpstr>TW SATP_R</vt:lpstr>
      <vt:lpstr>TW SATP</vt:lpstr>
      <vt:lpstr>CL &amp; Health</vt:lpstr>
    </vt:vector>
  </TitlesOfParts>
  <Company>Liberty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J, Somasundaram</dc:creator>
  <cp:lastModifiedBy>Nikita Yadav</cp:lastModifiedBy>
  <dcterms:created xsi:type="dcterms:W3CDTF">2025-01-29T12:40:22Z</dcterms:created>
  <dcterms:modified xsi:type="dcterms:W3CDTF">2025-08-06T08:19:55Z</dcterms:modified>
</cp:coreProperties>
</file>